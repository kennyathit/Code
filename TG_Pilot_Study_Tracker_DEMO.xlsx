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Scoreboard" sheetId="2" state="visible" r:id="rId2"/>
    <sheet name="Training Priority" sheetId="3" state="visible" r:id="rId3"/>
    <sheet name="Daily Schedule" sheetId="4" state="visible" r:id="rId4"/>
    <sheet name="Gap Analysis" sheetId="5" state="visible" r:id="rId5"/>
    <sheet name="Submission Status" sheetId="6" state="visible" r:id="rId6"/>
    <sheet name="Books" sheetId="7" state="visible" r:id="rId7"/>
    <sheet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+0%;-0%;0%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b val="1"/>
      <color rgb="002F5597"/>
      <sz val="14"/>
    </font>
    <font>
      <b val="1"/>
      <color rgb="00C00000"/>
      <sz val="14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9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4" customWidth="1" min="4" max="4"/>
    <col width="9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Member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Correct</t>
        </is>
      </c>
      <c r="F1" s="1" t="inlineStr">
        <is>
          <t>Total</t>
        </is>
      </c>
      <c r="G1" s="1" t="inlineStr">
        <is>
          <t>%</t>
        </is>
      </c>
      <c r="H1" s="1" t="inlineStr">
        <is>
          <t>Notes</t>
        </is>
      </c>
      <c r="J1" s="2" t="inlineStr">
        <is>
          <t>← Add one row per practice attempt. Pick Member/Subject/Book from the dropdowns; type Correct &amp; Total.</t>
        </is>
      </c>
    </row>
    <row r="2">
      <c r="A2" s="3" t="n">
        <v>46186</v>
      </c>
      <c r="B2" t="inlineStr">
        <is>
          <t>You</t>
        </is>
      </c>
      <c r="C2" t="inlineStr">
        <is>
          <t>Number Series</t>
        </is>
      </c>
      <c r="D2" t="inlineStr">
        <is>
          <t>Pilot Aptitude Test Workbook</t>
        </is>
      </c>
      <c r="E2" t="n">
        <v>14</v>
      </c>
      <c r="F2" t="n">
        <v>20</v>
      </c>
      <c r="G2" s="4">
        <f>IFERROR(E2/F2,"")</f>
        <v/>
      </c>
    </row>
    <row r="3">
      <c r="A3" s="3" t="n">
        <v>46192</v>
      </c>
      <c r="B3" t="inlineStr">
        <is>
          <t>You</t>
        </is>
      </c>
      <c r="C3" t="inlineStr">
        <is>
          <t>Number Series</t>
        </is>
      </c>
      <c r="D3" t="inlineStr">
        <is>
          <t>Pilot Aptitude Test Workbook</t>
        </is>
      </c>
      <c r="E3" t="n">
        <v>17</v>
      </c>
      <c r="F3" t="n">
        <v>20</v>
      </c>
      <c r="G3" s="4">
        <f>IFERROR(E3/F3,"")</f>
        <v/>
      </c>
    </row>
    <row r="4">
      <c r="A4" s="3" t="n">
        <v>46192</v>
      </c>
      <c r="B4" t="inlineStr">
        <is>
          <t>You</t>
        </is>
      </c>
      <c r="C4" t="inlineStr">
        <is>
          <t>Figure / Picture Series</t>
        </is>
      </c>
      <c r="D4" t="inlineStr">
        <is>
          <t>Pilot Aptitude Test Workbook</t>
        </is>
      </c>
      <c r="E4" t="n">
        <v>16</v>
      </c>
      <c r="F4" t="n">
        <v>20</v>
      </c>
      <c r="G4" s="4">
        <f>IFERROR(E4/F4,"")</f>
        <v/>
      </c>
    </row>
    <row r="5">
      <c r="A5" s="3" t="n">
        <v>46192</v>
      </c>
      <c r="B5" t="inlineStr">
        <is>
          <t>You</t>
        </is>
      </c>
      <c r="C5" t="inlineStr">
        <is>
          <t>Shape Scanning</t>
        </is>
      </c>
      <c r="D5" t="inlineStr">
        <is>
          <t>Pilot Aptitude Test Workbook</t>
        </is>
      </c>
      <c r="E5" t="n">
        <v>9</v>
      </c>
      <c r="F5" t="n">
        <v>20</v>
      </c>
      <c r="G5" s="4">
        <f>IFERROR(E5/F5,"")</f>
        <v/>
      </c>
    </row>
    <row r="6">
      <c r="A6" s="3" t="n">
        <v>46192</v>
      </c>
      <c r="B6" t="inlineStr">
        <is>
          <t>You</t>
        </is>
      </c>
      <c r="C6" t="inlineStr">
        <is>
          <t>Aircraft / Spatial Rotation</t>
        </is>
      </c>
      <c r="D6" t="inlineStr">
        <is>
          <t>Pilot Aptitude Test Workbook</t>
        </is>
      </c>
      <c r="E6" t="n">
        <v>15</v>
      </c>
      <c r="F6" t="n">
        <v>20</v>
      </c>
      <c r="G6" s="4">
        <f>IFERROR(E6/F6,"")</f>
        <v/>
      </c>
    </row>
    <row r="7">
      <c r="A7" s="3" t="n">
        <v>46186</v>
      </c>
      <c r="B7" t="inlineStr">
        <is>
          <t>Friend A</t>
        </is>
      </c>
      <c r="C7" t="inlineStr">
        <is>
          <t>Number Series</t>
        </is>
      </c>
      <c r="D7" t="inlineStr">
        <is>
          <t>Pilot Aptitude Test Workbook</t>
        </is>
      </c>
      <c r="E7" t="n">
        <v>12</v>
      </c>
      <c r="F7" t="n">
        <v>20</v>
      </c>
      <c r="G7" s="4">
        <f>IFERROR(E7/F7,"")</f>
        <v/>
      </c>
    </row>
    <row r="8">
      <c r="A8" s="3" t="n">
        <v>46192</v>
      </c>
      <c r="B8" t="inlineStr">
        <is>
          <t>Friend A</t>
        </is>
      </c>
      <c r="C8" t="inlineStr">
        <is>
          <t>Number Series</t>
        </is>
      </c>
      <c r="D8" t="inlineStr">
        <is>
          <t>Pilot Aptitude Test Workbook</t>
        </is>
      </c>
      <c r="E8" t="n">
        <v>13</v>
      </c>
      <c r="F8" t="n">
        <v>20</v>
      </c>
      <c r="G8" s="4">
        <f>IFERROR(E8/F8,"")</f>
        <v/>
      </c>
    </row>
    <row r="9">
      <c r="A9" s="3" t="n">
        <v>46192</v>
      </c>
      <c r="B9" t="inlineStr">
        <is>
          <t>Friend A</t>
        </is>
      </c>
      <c r="C9" t="inlineStr">
        <is>
          <t>Figure / Picture Series</t>
        </is>
      </c>
      <c r="D9" t="inlineStr">
        <is>
          <t>Pilot Aptitude Test Workbook</t>
        </is>
      </c>
      <c r="E9" t="n">
        <v>11</v>
      </c>
      <c r="F9" t="n">
        <v>20</v>
      </c>
      <c r="G9" s="4">
        <f>IFERROR(E9/F9,"")</f>
        <v/>
      </c>
    </row>
    <row r="10">
      <c r="A10" s="3" t="n">
        <v>46192</v>
      </c>
      <c r="B10" t="inlineStr">
        <is>
          <t>Friend A</t>
        </is>
      </c>
      <c r="C10" t="inlineStr">
        <is>
          <t>Shape Scanning</t>
        </is>
      </c>
      <c r="D10" t="inlineStr">
        <is>
          <t>Pilot Aptitude Test Workbook</t>
        </is>
      </c>
      <c r="E10" t="n">
        <v>8</v>
      </c>
      <c r="F10" t="n">
        <v>20</v>
      </c>
      <c r="G10" s="4">
        <f>IFERROR(E10/F10,"")</f>
        <v/>
      </c>
    </row>
    <row r="11">
      <c r="A11" s="3" t="n">
        <v>46192</v>
      </c>
      <c r="B11" t="inlineStr">
        <is>
          <t>Friend A</t>
        </is>
      </c>
      <c r="C11" t="inlineStr">
        <is>
          <t>Aircraft / Spatial Rotation</t>
        </is>
      </c>
      <c r="D11" t="inlineStr">
        <is>
          <t>Pilot Aptitude Test Workbook</t>
        </is>
      </c>
      <c r="E11" t="n">
        <v>10</v>
      </c>
      <c r="F11" t="n">
        <v>20</v>
      </c>
      <c r="G11" s="4">
        <f>IFERROR(E11/F11,"")</f>
        <v/>
      </c>
    </row>
    <row r="12">
      <c r="A12" s="3" t="n">
        <v>46192</v>
      </c>
      <c r="B12" t="inlineStr">
        <is>
          <t>Friend B</t>
        </is>
      </c>
      <c r="C12" t="inlineStr">
        <is>
          <t>Number Series</t>
        </is>
      </c>
      <c r="D12" t="inlineStr">
        <is>
          <t>Pilot Aptitude Test Workbook</t>
        </is>
      </c>
      <c r="E12" t="n">
        <v>18</v>
      </c>
      <c r="F12" t="n">
        <v>20</v>
      </c>
      <c r="G12" s="4">
        <f>IFERROR(E12/F12,"")</f>
        <v/>
      </c>
    </row>
    <row r="13">
      <c r="A13" s="3" t="n">
        <v>46192</v>
      </c>
      <c r="B13" t="inlineStr">
        <is>
          <t>Friend B</t>
        </is>
      </c>
      <c r="C13" t="inlineStr">
        <is>
          <t>Figure / Picture Series</t>
        </is>
      </c>
      <c r="D13" t="inlineStr">
        <is>
          <t>Pilot Aptitude Test Workbook</t>
        </is>
      </c>
      <c r="E13" t="n">
        <v>17</v>
      </c>
      <c r="F13" t="n">
        <v>20</v>
      </c>
      <c r="G13" s="4">
        <f>IFERROR(E13/F13,"")</f>
        <v/>
      </c>
    </row>
    <row r="14">
      <c r="A14" s="3" t="n">
        <v>46192</v>
      </c>
      <c r="B14" t="inlineStr">
        <is>
          <t>Friend B</t>
        </is>
      </c>
      <c r="C14" t="inlineStr">
        <is>
          <t>Shape Scanning</t>
        </is>
      </c>
      <c r="D14" t="inlineStr">
        <is>
          <t>Pilot Aptitude Test Workbook</t>
        </is>
      </c>
      <c r="E14" t="n">
        <v>12</v>
      </c>
      <c r="F14" t="n">
        <v>20</v>
      </c>
      <c r="G14" s="4">
        <f>IFERROR(E14/F14,"")</f>
        <v/>
      </c>
    </row>
    <row r="15">
      <c r="A15" s="3" t="n">
        <v>46192</v>
      </c>
      <c r="B15" t="inlineStr">
        <is>
          <t>Friend B</t>
        </is>
      </c>
      <c r="C15" t="inlineStr">
        <is>
          <t>Aircraft / Spatial Rotation</t>
        </is>
      </c>
      <c r="D15" t="inlineStr">
        <is>
          <t>Pilot Aptitude Test Workbook</t>
        </is>
      </c>
      <c r="E15" t="n">
        <v>16</v>
      </c>
      <c r="F15" t="n">
        <v>20</v>
      </c>
      <c r="G15" s="4">
        <f>IFERROR(E15/F15,"")</f>
        <v/>
      </c>
    </row>
    <row r="16">
      <c r="A16" s="3" t="n"/>
      <c r="G16" s="4">
        <f>IFERROR(E16/F16,"")</f>
        <v/>
      </c>
    </row>
    <row r="17">
      <c r="A17" s="3" t="n"/>
      <c r="G17" s="4">
        <f>IFERROR(E17/F17,"")</f>
        <v/>
      </c>
    </row>
    <row r="18">
      <c r="A18" s="3" t="n"/>
      <c r="G18" s="4">
        <f>IFERROR(E18/F18,"")</f>
        <v/>
      </c>
    </row>
    <row r="19">
      <c r="A19" s="3" t="n"/>
      <c r="G19" s="4">
        <f>IFERROR(E19/F19,"")</f>
        <v/>
      </c>
    </row>
    <row r="20">
      <c r="A20" s="3" t="n"/>
      <c r="G20" s="4">
        <f>IFERROR(E20/F20,"")</f>
        <v/>
      </c>
    </row>
    <row r="21">
      <c r="A21" s="3" t="n"/>
      <c r="G21" s="4">
        <f>IFERROR(E21/F21,"")</f>
        <v/>
      </c>
    </row>
    <row r="22">
      <c r="A22" s="3" t="n"/>
      <c r="G22" s="4">
        <f>IFERROR(E22/F22,"")</f>
        <v/>
      </c>
    </row>
    <row r="23">
      <c r="A23" s="3" t="n"/>
      <c r="G23" s="4">
        <f>IFERROR(E23/F23,"")</f>
        <v/>
      </c>
    </row>
    <row r="24">
      <c r="A24" s="3" t="n"/>
      <c r="G24" s="4">
        <f>IFERROR(E24/F24,"")</f>
        <v/>
      </c>
    </row>
    <row r="25">
      <c r="A25" s="3" t="n"/>
      <c r="G25" s="4">
        <f>IFERROR(E25/F25,"")</f>
        <v/>
      </c>
    </row>
    <row r="26">
      <c r="A26" s="3" t="n"/>
      <c r="G26" s="4">
        <f>IFERROR(E26/F26,"")</f>
        <v/>
      </c>
    </row>
    <row r="27">
      <c r="A27" s="3" t="n"/>
      <c r="G27" s="4">
        <f>IFERROR(E27/F27,"")</f>
        <v/>
      </c>
    </row>
    <row r="28">
      <c r="A28" s="3" t="n"/>
      <c r="G28" s="4">
        <f>IFERROR(E28/F28,"")</f>
        <v/>
      </c>
    </row>
    <row r="29">
      <c r="A29" s="3" t="n"/>
      <c r="G29" s="4">
        <f>IFERROR(E29/F29,"")</f>
        <v/>
      </c>
    </row>
    <row r="30">
      <c r="A30" s="3" t="n"/>
      <c r="G30" s="4">
        <f>IFERROR(E30/F30,"")</f>
        <v/>
      </c>
    </row>
    <row r="31">
      <c r="A31" s="3" t="n"/>
      <c r="G31" s="4">
        <f>IFERROR(E31/F31,"")</f>
        <v/>
      </c>
    </row>
    <row r="32">
      <c r="A32" s="3" t="n"/>
      <c r="G32" s="4">
        <f>IFERROR(E32/F32,"")</f>
        <v/>
      </c>
    </row>
    <row r="33">
      <c r="A33" s="3" t="n"/>
      <c r="G33" s="4">
        <f>IFERROR(E33/F33,"")</f>
        <v/>
      </c>
    </row>
    <row r="34">
      <c r="A34" s="3" t="n"/>
      <c r="G34" s="4">
        <f>IFERROR(E34/F34,"")</f>
        <v/>
      </c>
    </row>
    <row r="35">
      <c r="A35" s="3" t="n"/>
      <c r="G35" s="4">
        <f>IFERROR(E35/F35,"")</f>
        <v/>
      </c>
    </row>
    <row r="36">
      <c r="A36" s="3" t="n"/>
      <c r="G36" s="4">
        <f>IFERROR(E36/F36,"")</f>
        <v/>
      </c>
    </row>
    <row r="37">
      <c r="A37" s="3" t="n"/>
      <c r="G37" s="4">
        <f>IFERROR(E37/F37,"")</f>
        <v/>
      </c>
    </row>
    <row r="38">
      <c r="A38" s="3" t="n"/>
      <c r="G38" s="4">
        <f>IFERROR(E38/F38,"")</f>
        <v/>
      </c>
    </row>
    <row r="39">
      <c r="A39" s="3" t="n"/>
      <c r="G39" s="4">
        <f>IFERROR(E39/F39,"")</f>
        <v/>
      </c>
    </row>
    <row r="40">
      <c r="A40" s="3" t="n"/>
      <c r="G40" s="4">
        <f>IFERROR(E40/F40,"")</f>
        <v/>
      </c>
    </row>
    <row r="41">
      <c r="A41" s="3" t="n"/>
      <c r="G41" s="4">
        <f>IFERROR(E41/F41,"")</f>
        <v/>
      </c>
    </row>
    <row r="42">
      <c r="A42" s="3" t="n"/>
      <c r="G42" s="4">
        <f>IFERROR(E42/F42,"")</f>
        <v/>
      </c>
    </row>
    <row r="43">
      <c r="A43" s="3" t="n"/>
      <c r="G43" s="4">
        <f>IFERROR(E43/F43,"")</f>
        <v/>
      </c>
    </row>
    <row r="44">
      <c r="A44" s="3" t="n"/>
      <c r="G44" s="4">
        <f>IFERROR(E44/F44,"")</f>
        <v/>
      </c>
    </row>
    <row r="45">
      <c r="A45" s="3" t="n"/>
      <c r="G45" s="4">
        <f>IFERROR(E45/F45,"")</f>
        <v/>
      </c>
    </row>
    <row r="46">
      <c r="A46" s="3" t="n"/>
      <c r="G46" s="4">
        <f>IFERROR(E46/F46,"")</f>
        <v/>
      </c>
    </row>
    <row r="47">
      <c r="A47" s="3" t="n"/>
      <c r="G47" s="4">
        <f>IFERROR(E47/F47,"")</f>
        <v/>
      </c>
    </row>
    <row r="48">
      <c r="A48" s="3" t="n"/>
      <c r="G48" s="4">
        <f>IFERROR(E48/F48,"")</f>
        <v/>
      </c>
    </row>
    <row r="49">
      <c r="A49" s="3" t="n"/>
      <c r="G49" s="4">
        <f>IFERROR(E49/F49,"")</f>
        <v/>
      </c>
    </row>
    <row r="50">
      <c r="A50" s="3" t="n"/>
      <c r="G50" s="4">
        <f>IFERROR(E50/F50,"")</f>
        <v/>
      </c>
    </row>
    <row r="51">
      <c r="A51" s="3" t="n"/>
      <c r="G51" s="4">
        <f>IFERROR(E51/F51,"")</f>
        <v/>
      </c>
    </row>
    <row r="52">
      <c r="A52" s="3" t="n"/>
      <c r="G52" s="4">
        <f>IFERROR(E52/F52,"")</f>
        <v/>
      </c>
    </row>
    <row r="53">
      <c r="A53" s="3" t="n"/>
      <c r="G53" s="4">
        <f>IFERROR(E53/F53,"")</f>
        <v/>
      </c>
    </row>
    <row r="54">
      <c r="A54" s="3" t="n"/>
      <c r="G54" s="4">
        <f>IFERROR(E54/F54,"")</f>
        <v/>
      </c>
    </row>
    <row r="55">
      <c r="A55" s="3" t="n"/>
      <c r="G55" s="4">
        <f>IFERROR(E55/F55,"")</f>
        <v/>
      </c>
    </row>
    <row r="56">
      <c r="A56" s="3" t="n"/>
      <c r="G56" s="4">
        <f>IFERROR(E56/F56,"")</f>
        <v/>
      </c>
    </row>
    <row r="57">
      <c r="A57" s="3" t="n"/>
      <c r="G57" s="4">
        <f>IFERROR(E57/F57,"")</f>
        <v/>
      </c>
    </row>
    <row r="58">
      <c r="A58" s="3" t="n"/>
      <c r="G58" s="4">
        <f>IFERROR(E58/F58,"")</f>
        <v/>
      </c>
    </row>
    <row r="59">
      <c r="A59" s="3" t="n"/>
      <c r="G59" s="4">
        <f>IFERROR(E59/F59,"")</f>
        <v/>
      </c>
    </row>
    <row r="60">
      <c r="A60" s="3" t="n"/>
      <c r="G60" s="4">
        <f>IFERROR(E60/F60,"")</f>
        <v/>
      </c>
    </row>
    <row r="61">
      <c r="A61" s="3" t="n"/>
      <c r="G61" s="4">
        <f>IFERROR(E61/F61,"")</f>
        <v/>
      </c>
    </row>
    <row r="62">
      <c r="A62" s="3" t="n"/>
      <c r="G62" s="4">
        <f>IFERROR(E62/F62,"")</f>
        <v/>
      </c>
    </row>
    <row r="63">
      <c r="A63" s="3" t="n"/>
      <c r="G63" s="4">
        <f>IFERROR(E63/F63,"")</f>
        <v/>
      </c>
    </row>
    <row r="64">
      <c r="A64" s="3" t="n"/>
      <c r="G64" s="4">
        <f>IFERROR(E64/F64,"")</f>
        <v/>
      </c>
    </row>
    <row r="65">
      <c r="A65" s="3" t="n"/>
      <c r="G65" s="4">
        <f>IFERROR(E65/F65,"")</f>
        <v/>
      </c>
    </row>
    <row r="66">
      <c r="A66" s="3" t="n"/>
      <c r="G66" s="4">
        <f>IFERROR(E66/F66,"")</f>
        <v/>
      </c>
    </row>
    <row r="67">
      <c r="A67" s="3" t="n"/>
      <c r="G67" s="4">
        <f>IFERROR(E67/F67,"")</f>
        <v/>
      </c>
    </row>
    <row r="68">
      <c r="A68" s="3" t="n"/>
      <c r="G68" s="4">
        <f>IFERROR(E68/F68,"")</f>
        <v/>
      </c>
    </row>
    <row r="69">
      <c r="A69" s="3" t="n"/>
      <c r="G69" s="4">
        <f>IFERROR(E69/F69,"")</f>
        <v/>
      </c>
    </row>
    <row r="70">
      <c r="A70" s="3" t="n"/>
      <c r="G70" s="4">
        <f>IFERROR(E70/F70,"")</f>
        <v/>
      </c>
    </row>
    <row r="71">
      <c r="A71" s="3" t="n"/>
      <c r="G71" s="4">
        <f>IFERROR(E71/F71,"")</f>
        <v/>
      </c>
    </row>
    <row r="72">
      <c r="A72" s="3" t="n"/>
      <c r="G72" s="4">
        <f>IFERROR(E72/F72,"")</f>
        <v/>
      </c>
    </row>
    <row r="73">
      <c r="A73" s="3" t="n"/>
      <c r="G73" s="4">
        <f>IFERROR(E73/F73,"")</f>
        <v/>
      </c>
    </row>
    <row r="74">
      <c r="A74" s="3" t="n"/>
      <c r="G74" s="4">
        <f>IFERROR(E74/F74,"")</f>
        <v/>
      </c>
    </row>
    <row r="75">
      <c r="A75" s="3" t="n"/>
      <c r="G75" s="4">
        <f>IFERROR(E75/F75,"")</f>
        <v/>
      </c>
    </row>
    <row r="76">
      <c r="A76" s="3" t="n"/>
      <c r="G76" s="4">
        <f>IFERROR(E76/F76,"")</f>
        <v/>
      </c>
    </row>
    <row r="77">
      <c r="A77" s="3" t="n"/>
      <c r="G77" s="4">
        <f>IFERROR(E77/F77,"")</f>
        <v/>
      </c>
    </row>
    <row r="78">
      <c r="A78" s="3" t="n"/>
      <c r="G78" s="4">
        <f>IFERROR(E78/F78,"")</f>
        <v/>
      </c>
    </row>
    <row r="79">
      <c r="A79" s="3" t="n"/>
      <c r="G79" s="4">
        <f>IFERROR(E79/F79,"")</f>
        <v/>
      </c>
    </row>
    <row r="80">
      <c r="A80" s="3" t="n"/>
      <c r="G80" s="4">
        <f>IFERROR(E80/F80,"")</f>
        <v/>
      </c>
    </row>
    <row r="81">
      <c r="A81" s="3" t="n"/>
      <c r="G81" s="4">
        <f>IFERROR(E81/F81,"")</f>
        <v/>
      </c>
    </row>
    <row r="82">
      <c r="A82" s="3" t="n"/>
      <c r="G82" s="4">
        <f>IFERROR(E82/F82,"")</f>
        <v/>
      </c>
    </row>
    <row r="83">
      <c r="A83" s="3" t="n"/>
      <c r="G83" s="4">
        <f>IFERROR(E83/F83,"")</f>
        <v/>
      </c>
    </row>
    <row r="84">
      <c r="A84" s="3" t="n"/>
      <c r="G84" s="4">
        <f>IFERROR(E84/F84,"")</f>
        <v/>
      </c>
    </row>
    <row r="85">
      <c r="A85" s="3" t="n"/>
      <c r="G85" s="4">
        <f>IFERROR(E85/F85,"")</f>
        <v/>
      </c>
    </row>
    <row r="86">
      <c r="A86" s="3" t="n"/>
      <c r="G86" s="4">
        <f>IFERROR(E86/F86,"")</f>
        <v/>
      </c>
    </row>
    <row r="87">
      <c r="A87" s="3" t="n"/>
      <c r="G87" s="4">
        <f>IFERROR(E87/F87,"")</f>
        <v/>
      </c>
    </row>
    <row r="88">
      <c r="A88" s="3" t="n"/>
      <c r="G88" s="4">
        <f>IFERROR(E88/F88,"")</f>
        <v/>
      </c>
    </row>
    <row r="89">
      <c r="A89" s="3" t="n"/>
      <c r="G89" s="4">
        <f>IFERROR(E89/F89,"")</f>
        <v/>
      </c>
    </row>
    <row r="90">
      <c r="A90" s="3" t="n"/>
      <c r="G90" s="4">
        <f>IFERROR(E90/F90,"")</f>
        <v/>
      </c>
    </row>
    <row r="91">
      <c r="A91" s="3" t="n"/>
      <c r="G91" s="4">
        <f>IFERROR(E91/F91,"")</f>
        <v/>
      </c>
    </row>
    <row r="92">
      <c r="A92" s="3" t="n"/>
      <c r="G92" s="4">
        <f>IFERROR(E92/F92,"")</f>
        <v/>
      </c>
    </row>
    <row r="93">
      <c r="A93" s="3" t="n"/>
      <c r="G93" s="4">
        <f>IFERROR(E93/F93,"")</f>
        <v/>
      </c>
    </row>
    <row r="94">
      <c r="A94" s="3" t="n"/>
      <c r="G94" s="4">
        <f>IFERROR(E94/F94,"")</f>
        <v/>
      </c>
    </row>
    <row r="95">
      <c r="A95" s="3" t="n"/>
      <c r="G95" s="4">
        <f>IFERROR(E95/F95,"")</f>
        <v/>
      </c>
    </row>
    <row r="96">
      <c r="A96" s="3" t="n"/>
      <c r="G96" s="4">
        <f>IFERROR(E96/F96,"")</f>
        <v/>
      </c>
    </row>
    <row r="97">
      <c r="A97" s="3" t="n"/>
      <c r="G97" s="4">
        <f>IFERROR(E97/F97,"")</f>
        <v/>
      </c>
    </row>
    <row r="98">
      <c r="A98" s="3" t="n"/>
      <c r="G98" s="4">
        <f>IFERROR(E98/F98,"")</f>
        <v/>
      </c>
    </row>
    <row r="99">
      <c r="A99" s="3" t="n"/>
      <c r="G99" s="4">
        <f>IFERROR(E99/F99,"")</f>
        <v/>
      </c>
    </row>
    <row r="100">
      <c r="A100" s="3" t="n"/>
      <c r="G100" s="4">
        <f>IFERROR(E100/F100,"")</f>
        <v/>
      </c>
    </row>
    <row r="101">
      <c r="A101" s="3" t="n"/>
      <c r="G101" s="4">
        <f>IFERROR(E101/F101,"")</f>
        <v/>
      </c>
    </row>
    <row r="102">
      <c r="A102" s="3" t="n"/>
      <c r="G102" s="4">
        <f>IFERROR(E102/F102,"")</f>
        <v/>
      </c>
    </row>
    <row r="103">
      <c r="A103" s="3" t="n"/>
      <c r="G103" s="4">
        <f>IFERROR(E103/F103,"")</f>
        <v/>
      </c>
    </row>
    <row r="104">
      <c r="A104" s="3" t="n"/>
      <c r="G104" s="4">
        <f>IFERROR(E104/F104,"")</f>
        <v/>
      </c>
    </row>
    <row r="105">
      <c r="A105" s="3" t="n"/>
      <c r="G105" s="4">
        <f>IFERROR(E105/F105,"")</f>
        <v/>
      </c>
    </row>
    <row r="106">
      <c r="A106" s="3" t="n"/>
      <c r="G106" s="4">
        <f>IFERROR(E106/F106,"")</f>
        <v/>
      </c>
    </row>
    <row r="107">
      <c r="A107" s="3" t="n"/>
      <c r="G107" s="4">
        <f>IFERROR(E107/F107,"")</f>
        <v/>
      </c>
    </row>
    <row r="108">
      <c r="A108" s="3" t="n"/>
      <c r="G108" s="4">
        <f>IFERROR(E108/F108,"")</f>
        <v/>
      </c>
    </row>
    <row r="109">
      <c r="A109" s="3" t="n"/>
      <c r="G109" s="4">
        <f>IFERROR(E109/F109,"")</f>
        <v/>
      </c>
    </row>
    <row r="110">
      <c r="A110" s="3" t="n"/>
      <c r="G110" s="4">
        <f>IFERROR(E110/F110,"")</f>
        <v/>
      </c>
    </row>
    <row r="111">
      <c r="A111" s="3" t="n"/>
      <c r="G111" s="4">
        <f>IFERROR(E111/F111,"")</f>
        <v/>
      </c>
    </row>
    <row r="112">
      <c r="A112" s="3" t="n"/>
      <c r="G112" s="4">
        <f>IFERROR(E112/F112,"")</f>
        <v/>
      </c>
    </row>
    <row r="113">
      <c r="A113" s="3" t="n"/>
      <c r="G113" s="4">
        <f>IFERROR(E113/F113,"")</f>
        <v/>
      </c>
    </row>
    <row r="114">
      <c r="A114" s="3" t="n"/>
      <c r="G114" s="4">
        <f>IFERROR(E114/F114,"")</f>
        <v/>
      </c>
    </row>
    <row r="115">
      <c r="A115" s="3" t="n"/>
      <c r="G115" s="4">
        <f>IFERROR(E115/F115,"")</f>
        <v/>
      </c>
    </row>
    <row r="116">
      <c r="A116" s="3" t="n"/>
      <c r="G116" s="4">
        <f>IFERROR(E116/F116,"")</f>
        <v/>
      </c>
    </row>
    <row r="117">
      <c r="A117" s="3" t="n"/>
      <c r="G117" s="4">
        <f>IFERROR(E117/F117,"")</f>
        <v/>
      </c>
    </row>
    <row r="118">
      <c r="A118" s="3" t="n"/>
      <c r="G118" s="4">
        <f>IFERROR(E118/F118,"")</f>
        <v/>
      </c>
    </row>
    <row r="119">
      <c r="A119" s="3" t="n"/>
      <c r="G119" s="4">
        <f>IFERROR(E119/F119,"")</f>
        <v/>
      </c>
    </row>
    <row r="120">
      <c r="A120" s="3" t="n"/>
      <c r="G120" s="4">
        <f>IFERROR(E120/F120,"")</f>
        <v/>
      </c>
    </row>
    <row r="121">
      <c r="A121" s="3" t="n"/>
      <c r="G121" s="4">
        <f>IFERROR(E121/F121,"")</f>
        <v/>
      </c>
    </row>
    <row r="122">
      <c r="A122" s="3" t="n"/>
      <c r="G122" s="4">
        <f>IFERROR(E122/F122,"")</f>
        <v/>
      </c>
    </row>
    <row r="123">
      <c r="A123" s="3" t="n"/>
      <c r="G123" s="4">
        <f>IFERROR(E123/F123,"")</f>
        <v/>
      </c>
    </row>
    <row r="124">
      <c r="A124" s="3" t="n"/>
      <c r="G124" s="4">
        <f>IFERROR(E124/F124,"")</f>
        <v/>
      </c>
    </row>
    <row r="125">
      <c r="A125" s="3" t="n"/>
      <c r="G125" s="4">
        <f>IFERROR(E125/F125,"")</f>
        <v/>
      </c>
    </row>
    <row r="126">
      <c r="A126" s="3" t="n"/>
      <c r="G126" s="4">
        <f>IFERROR(E126/F126,"")</f>
        <v/>
      </c>
    </row>
    <row r="127">
      <c r="A127" s="3" t="n"/>
      <c r="G127" s="4">
        <f>IFERROR(E127/F127,"")</f>
        <v/>
      </c>
    </row>
    <row r="128">
      <c r="A128" s="3" t="n"/>
      <c r="G128" s="4">
        <f>IFERROR(E128/F128,"")</f>
        <v/>
      </c>
    </row>
    <row r="129">
      <c r="A129" s="3" t="n"/>
      <c r="G129" s="4">
        <f>IFERROR(E129/F129,"")</f>
        <v/>
      </c>
    </row>
    <row r="130">
      <c r="A130" s="3" t="n"/>
      <c r="G130" s="4">
        <f>IFERROR(E130/F130,"")</f>
        <v/>
      </c>
    </row>
    <row r="131">
      <c r="A131" s="3" t="n"/>
      <c r="G131" s="4">
        <f>IFERROR(E131/F131,"")</f>
        <v/>
      </c>
    </row>
    <row r="132">
      <c r="A132" s="3" t="n"/>
      <c r="G132" s="4">
        <f>IFERROR(E132/F132,"")</f>
        <v/>
      </c>
    </row>
    <row r="133">
      <c r="A133" s="3" t="n"/>
      <c r="G133" s="4">
        <f>IFERROR(E133/F133,"")</f>
        <v/>
      </c>
    </row>
    <row r="134">
      <c r="A134" s="3" t="n"/>
      <c r="G134" s="4">
        <f>IFERROR(E134/F134,"")</f>
        <v/>
      </c>
    </row>
    <row r="135">
      <c r="A135" s="3" t="n"/>
      <c r="G135" s="4">
        <f>IFERROR(E135/F135,"")</f>
        <v/>
      </c>
    </row>
    <row r="136">
      <c r="A136" s="3" t="n"/>
      <c r="G136" s="4">
        <f>IFERROR(E136/F136,"")</f>
        <v/>
      </c>
    </row>
    <row r="137">
      <c r="A137" s="3" t="n"/>
      <c r="G137" s="4">
        <f>IFERROR(E137/F137,"")</f>
        <v/>
      </c>
    </row>
    <row r="138">
      <c r="A138" s="3" t="n"/>
      <c r="G138" s="4">
        <f>IFERROR(E138/F138,"")</f>
        <v/>
      </c>
    </row>
    <row r="139">
      <c r="A139" s="3" t="n"/>
      <c r="G139" s="4">
        <f>IFERROR(E139/F139,"")</f>
        <v/>
      </c>
    </row>
    <row r="140">
      <c r="A140" s="3" t="n"/>
      <c r="G140" s="4">
        <f>IFERROR(E140/F140,"")</f>
        <v/>
      </c>
    </row>
    <row r="141">
      <c r="A141" s="3" t="n"/>
      <c r="G141" s="4">
        <f>IFERROR(E141/F141,"")</f>
        <v/>
      </c>
    </row>
    <row r="142">
      <c r="A142" s="3" t="n"/>
      <c r="G142" s="4">
        <f>IFERROR(E142/F142,"")</f>
        <v/>
      </c>
    </row>
    <row r="143">
      <c r="A143" s="3" t="n"/>
      <c r="G143" s="4">
        <f>IFERROR(E143/F143,"")</f>
        <v/>
      </c>
    </row>
    <row r="144">
      <c r="A144" s="3" t="n"/>
      <c r="G144" s="4">
        <f>IFERROR(E144/F144,"")</f>
        <v/>
      </c>
    </row>
    <row r="145">
      <c r="A145" s="3" t="n"/>
      <c r="G145" s="4">
        <f>IFERROR(E145/F145,"")</f>
        <v/>
      </c>
    </row>
    <row r="146">
      <c r="A146" s="3" t="n"/>
      <c r="G146" s="4">
        <f>IFERROR(E146/F146,"")</f>
        <v/>
      </c>
    </row>
    <row r="147">
      <c r="A147" s="3" t="n"/>
      <c r="G147" s="4">
        <f>IFERROR(E147/F147,"")</f>
        <v/>
      </c>
    </row>
    <row r="148">
      <c r="A148" s="3" t="n"/>
      <c r="G148" s="4">
        <f>IFERROR(E148/F148,"")</f>
        <v/>
      </c>
    </row>
    <row r="149">
      <c r="A149" s="3" t="n"/>
      <c r="G149" s="4">
        <f>IFERROR(E149/F149,"")</f>
        <v/>
      </c>
    </row>
    <row r="150">
      <c r="A150" s="3" t="n"/>
      <c r="G150" s="4">
        <f>IFERROR(E150/F150,"")</f>
        <v/>
      </c>
    </row>
    <row r="151">
      <c r="A151" s="3" t="n"/>
      <c r="G151" s="4">
        <f>IFERROR(E151/F151,"")</f>
        <v/>
      </c>
    </row>
    <row r="152">
      <c r="A152" s="3" t="n"/>
      <c r="G152" s="4">
        <f>IFERROR(E152/F152,"")</f>
        <v/>
      </c>
    </row>
    <row r="153">
      <c r="A153" s="3" t="n"/>
      <c r="G153" s="4">
        <f>IFERROR(E153/F153,"")</f>
        <v/>
      </c>
    </row>
    <row r="154">
      <c r="A154" s="3" t="n"/>
      <c r="G154" s="4">
        <f>IFERROR(E154/F154,"")</f>
        <v/>
      </c>
    </row>
    <row r="155">
      <c r="A155" s="3" t="n"/>
      <c r="G155" s="4">
        <f>IFERROR(E155/F155,"")</f>
        <v/>
      </c>
    </row>
    <row r="156">
      <c r="A156" s="3" t="n"/>
      <c r="G156" s="4">
        <f>IFERROR(E156/F156,"")</f>
        <v/>
      </c>
    </row>
    <row r="157">
      <c r="A157" s="3" t="n"/>
      <c r="G157" s="4">
        <f>IFERROR(E157/F157,"")</f>
        <v/>
      </c>
    </row>
    <row r="158">
      <c r="A158" s="3" t="n"/>
      <c r="G158" s="4">
        <f>IFERROR(E158/F158,"")</f>
        <v/>
      </c>
    </row>
    <row r="159">
      <c r="A159" s="3" t="n"/>
      <c r="G159" s="4">
        <f>IFERROR(E159/F159,"")</f>
        <v/>
      </c>
    </row>
    <row r="160">
      <c r="A160" s="3" t="n"/>
      <c r="G160" s="4">
        <f>IFERROR(E160/F160,"")</f>
        <v/>
      </c>
    </row>
    <row r="161">
      <c r="A161" s="3" t="n"/>
      <c r="G161" s="4">
        <f>IFERROR(E161/F161,"")</f>
        <v/>
      </c>
    </row>
    <row r="162">
      <c r="A162" s="3" t="n"/>
      <c r="G162" s="4">
        <f>IFERROR(E162/F162,"")</f>
        <v/>
      </c>
    </row>
    <row r="163">
      <c r="A163" s="3" t="n"/>
      <c r="G163" s="4">
        <f>IFERROR(E163/F163,"")</f>
        <v/>
      </c>
    </row>
    <row r="164">
      <c r="A164" s="3" t="n"/>
      <c r="G164" s="4">
        <f>IFERROR(E164/F164,"")</f>
        <v/>
      </c>
    </row>
    <row r="165">
      <c r="A165" s="3" t="n"/>
      <c r="G165" s="4">
        <f>IFERROR(E165/F165,"")</f>
        <v/>
      </c>
    </row>
    <row r="166">
      <c r="A166" s="3" t="n"/>
      <c r="G166" s="4">
        <f>IFERROR(E166/F166,"")</f>
        <v/>
      </c>
    </row>
    <row r="167">
      <c r="A167" s="3" t="n"/>
      <c r="G167" s="4">
        <f>IFERROR(E167/F167,"")</f>
        <v/>
      </c>
    </row>
    <row r="168">
      <c r="A168" s="3" t="n"/>
      <c r="G168" s="4">
        <f>IFERROR(E168/F168,"")</f>
        <v/>
      </c>
    </row>
    <row r="169">
      <c r="A169" s="3" t="n"/>
      <c r="G169" s="4">
        <f>IFERROR(E169/F169,"")</f>
        <v/>
      </c>
    </row>
    <row r="170">
      <c r="A170" s="3" t="n"/>
      <c r="G170" s="4">
        <f>IFERROR(E170/F170,"")</f>
        <v/>
      </c>
    </row>
    <row r="171">
      <c r="A171" s="3" t="n"/>
      <c r="G171" s="4">
        <f>IFERROR(E171/F171,"")</f>
        <v/>
      </c>
    </row>
    <row r="172">
      <c r="A172" s="3" t="n"/>
      <c r="G172" s="4">
        <f>IFERROR(E172/F172,"")</f>
        <v/>
      </c>
    </row>
    <row r="173">
      <c r="A173" s="3" t="n"/>
      <c r="G173" s="4">
        <f>IFERROR(E173/F173,"")</f>
        <v/>
      </c>
    </row>
    <row r="174">
      <c r="A174" s="3" t="n"/>
      <c r="G174" s="4">
        <f>IFERROR(E174/F174,"")</f>
        <v/>
      </c>
    </row>
    <row r="175">
      <c r="A175" s="3" t="n"/>
      <c r="G175" s="4">
        <f>IFERROR(E175/F175,"")</f>
        <v/>
      </c>
    </row>
    <row r="176">
      <c r="A176" s="3" t="n"/>
      <c r="G176" s="4">
        <f>IFERROR(E176/F176,"")</f>
        <v/>
      </c>
    </row>
    <row r="177">
      <c r="A177" s="3" t="n"/>
      <c r="G177" s="4">
        <f>IFERROR(E177/F177,"")</f>
        <v/>
      </c>
    </row>
    <row r="178">
      <c r="A178" s="3" t="n"/>
      <c r="G178" s="4">
        <f>IFERROR(E178/F178,"")</f>
        <v/>
      </c>
    </row>
    <row r="179">
      <c r="A179" s="3" t="n"/>
      <c r="G179" s="4">
        <f>IFERROR(E179/F179,"")</f>
        <v/>
      </c>
    </row>
    <row r="180">
      <c r="A180" s="3" t="n"/>
      <c r="G180" s="4">
        <f>IFERROR(E180/F180,"")</f>
        <v/>
      </c>
    </row>
    <row r="181">
      <c r="A181" s="3" t="n"/>
      <c r="G181" s="4">
        <f>IFERROR(E181/F181,"")</f>
        <v/>
      </c>
    </row>
    <row r="182">
      <c r="A182" s="3" t="n"/>
      <c r="G182" s="4">
        <f>IFERROR(E182/F182,"")</f>
        <v/>
      </c>
    </row>
    <row r="183">
      <c r="A183" s="3" t="n"/>
      <c r="G183" s="4">
        <f>IFERROR(E183/F183,"")</f>
        <v/>
      </c>
    </row>
    <row r="184">
      <c r="A184" s="3" t="n"/>
      <c r="G184" s="4">
        <f>IFERROR(E184/F184,"")</f>
        <v/>
      </c>
    </row>
    <row r="185">
      <c r="A185" s="3" t="n"/>
      <c r="G185" s="4">
        <f>IFERROR(E185/F185,"")</f>
        <v/>
      </c>
    </row>
    <row r="186">
      <c r="A186" s="3" t="n"/>
      <c r="G186" s="4">
        <f>IFERROR(E186/F186,"")</f>
        <v/>
      </c>
    </row>
    <row r="187">
      <c r="A187" s="3" t="n"/>
      <c r="G187" s="4">
        <f>IFERROR(E187/F187,"")</f>
        <v/>
      </c>
    </row>
    <row r="188">
      <c r="A188" s="3" t="n"/>
      <c r="G188" s="4">
        <f>IFERROR(E188/F188,"")</f>
        <v/>
      </c>
    </row>
    <row r="189">
      <c r="A189" s="3" t="n"/>
      <c r="G189" s="4">
        <f>IFERROR(E189/F189,"")</f>
        <v/>
      </c>
    </row>
    <row r="190">
      <c r="A190" s="3" t="n"/>
      <c r="G190" s="4">
        <f>IFERROR(E190/F190,"")</f>
        <v/>
      </c>
    </row>
    <row r="191">
      <c r="A191" s="3" t="n"/>
      <c r="G191" s="4">
        <f>IFERROR(E191/F191,"")</f>
        <v/>
      </c>
    </row>
    <row r="192">
      <c r="A192" s="3" t="n"/>
      <c r="G192" s="4">
        <f>IFERROR(E192/F192,"")</f>
        <v/>
      </c>
    </row>
    <row r="193">
      <c r="A193" s="3" t="n"/>
      <c r="G193" s="4">
        <f>IFERROR(E193/F193,"")</f>
        <v/>
      </c>
    </row>
    <row r="194">
      <c r="A194" s="3" t="n"/>
      <c r="G194" s="4">
        <f>IFERROR(E194/F194,"")</f>
        <v/>
      </c>
    </row>
    <row r="195">
      <c r="A195" s="3" t="n"/>
      <c r="G195" s="4">
        <f>IFERROR(E195/F195,"")</f>
        <v/>
      </c>
    </row>
    <row r="196">
      <c r="A196" s="3" t="n"/>
      <c r="G196" s="4">
        <f>IFERROR(E196/F196,"")</f>
        <v/>
      </c>
    </row>
    <row r="197">
      <c r="A197" s="3" t="n"/>
      <c r="G197" s="4">
        <f>IFERROR(E197/F197,"")</f>
        <v/>
      </c>
    </row>
    <row r="198">
      <c r="A198" s="3" t="n"/>
      <c r="G198" s="4">
        <f>IFERROR(E198/F198,"")</f>
        <v/>
      </c>
    </row>
    <row r="199">
      <c r="A199" s="3" t="n"/>
      <c r="G199" s="4">
        <f>IFERROR(E199/F199,"")</f>
        <v/>
      </c>
    </row>
    <row r="200">
      <c r="A200" s="3" t="n"/>
      <c r="G200" s="4">
        <f>IFERROR(E200/F200,"")</f>
        <v/>
      </c>
    </row>
    <row r="201">
      <c r="A201" s="3" t="n"/>
      <c r="G201" s="4">
        <f>IFERROR(E201/F201,"")</f>
        <v/>
      </c>
    </row>
    <row r="202">
      <c r="A202" s="3" t="n"/>
      <c r="G202" s="4">
        <f>IFERROR(E202/F202,"")</f>
        <v/>
      </c>
    </row>
    <row r="203">
      <c r="A203" s="3" t="n"/>
      <c r="G203" s="4">
        <f>IFERROR(E203/F203,"")</f>
        <v/>
      </c>
    </row>
    <row r="204">
      <c r="A204" s="3" t="n"/>
      <c r="G204" s="4">
        <f>IFERROR(E204/F204,"")</f>
        <v/>
      </c>
    </row>
    <row r="205">
      <c r="A205" s="3" t="n"/>
      <c r="G205" s="4">
        <f>IFERROR(E205/F205,"")</f>
        <v/>
      </c>
    </row>
    <row r="206">
      <c r="A206" s="3" t="n"/>
      <c r="G206" s="4">
        <f>IFERROR(E206/F206,"")</f>
        <v/>
      </c>
    </row>
    <row r="207">
      <c r="A207" s="3" t="n"/>
      <c r="G207" s="4">
        <f>IFERROR(E207/F207,"")</f>
        <v/>
      </c>
    </row>
    <row r="208">
      <c r="A208" s="3" t="n"/>
      <c r="G208" s="4">
        <f>IFERROR(E208/F208,"")</f>
        <v/>
      </c>
    </row>
    <row r="209">
      <c r="A209" s="3" t="n"/>
      <c r="G209" s="4">
        <f>IFERROR(E209/F209,"")</f>
        <v/>
      </c>
    </row>
    <row r="210">
      <c r="A210" s="3" t="n"/>
      <c r="G210" s="4">
        <f>IFERROR(E210/F210,"")</f>
        <v/>
      </c>
    </row>
    <row r="211">
      <c r="A211" s="3" t="n"/>
      <c r="G211" s="4">
        <f>IFERROR(E211/F211,"")</f>
        <v/>
      </c>
    </row>
    <row r="212">
      <c r="A212" s="3" t="n"/>
      <c r="G212" s="4">
        <f>IFERROR(E212/F212,"")</f>
        <v/>
      </c>
    </row>
    <row r="213">
      <c r="A213" s="3" t="n"/>
      <c r="G213" s="4">
        <f>IFERROR(E213/F213,"")</f>
        <v/>
      </c>
    </row>
    <row r="214">
      <c r="A214" s="3" t="n"/>
      <c r="G214" s="4">
        <f>IFERROR(E214/F214,"")</f>
        <v/>
      </c>
    </row>
    <row r="215">
      <c r="A215" s="3" t="n"/>
      <c r="G215" s="4">
        <f>IFERROR(E215/F215,"")</f>
        <v/>
      </c>
    </row>
    <row r="216">
      <c r="A216" s="3" t="n"/>
      <c r="G216" s="4">
        <f>IFERROR(E216/F216,"")</f>
        <v/>
      </c>
    </row>
    <row r="217">
      <c r="A217" s="3" t="n"/>
      <c r="G217" s="4">
        <f>IFERROR(E217/F217,"")</f>
        <v/>
      </c>
    </row>
    <row r="218">
      <c r="A218" s="3" t="n"/>
      <c r="G218" s="4">
        <f>IFERROR(E218/F218,"")</f>
        <v/>
      </c>
    </row>
    <row r="219">
      <c r="A219" s="3" t="n"/>
      <c r="G219" s="4">
        <f>IFERROR(E219/F219,"")</f>
        <v/>
      </c>
    </row>
    <row r="220">
      <c r="A220" s="3" t="n"/>
      <c r="G220" s="4">
        <f>IFERROR(E220/F220,"")</f>
        <v/>
      </c>
    </row>
    <row r="221">
      <c r="A221" s="3" t="n"/>
      <c r="G221" s="4">
        <f>IFERROR(E221/F221,"")</f>
        <v/>
      </c>
    </row>
    <row r="222">
      <c r="A222" s="3" t="n"/>
      <c r="G222" s="4">
        <f>IFERROR(E222/F222,"")</f>
        <v/>
      </c>
    </row>
    <row r="223">
      <c r="A223" s="3" t="n"/>
      <c r="G223" s="4">
        <f>IFERROR(E223/F223,"")</f>
        <v/>
      </c>
    </row>
    <row r="224">
      <c r="A224" s="3" t="n"/>
      <c r="G224" s="4">
        <f>IFERROR(E224/F224,"")</f>
        <v/>
      </c>
    </row>
    <row r="225">
      <c r="A225" s="3" t="n"/>
      <c r="G225" s="4">
        <f>IFERROR(E225/F225,"")</f>
        <v/>
      </c>
    </row>
    <row r="226">
      <c r="A226" s="3" t="n"/>
      <c r="G226" s="4">
        <f>IFERROR(E226/F226,"")</f>
        <v/>
      </c>
    </row>
    <row r="227">
      <c r="A227" s="3" t="n"/>
      <c r="G227" s="4">
        <f>IFERROR(E227/F227,"")</f>
        <v/>
      </c>
    </row>
    <row r="228">
      <c r="A228" s="3" t="n"/>
      <c r="G228" s="4">
        <f>IFERROR(E228/F228,"")</f>
        <v/>
      </c>
    </row>
    <row r="229">
      <c r="A229" s="3" t="n"/>
      <c r="G229" s="4">
        <f>IFERROR(E229/F229,"")</f>
        <v/>
      </c>
    </row>
    <row r="230">
      <c r="A230" s="3" t="n"/>
      <c r="G230" s="4">
        <f>IFERROR(E230/F230,"")</f>
        <v/>
      </c>
    </row>
    <row r="231">
      <c r="A231" s="3" t="n"/>
      <c r="G231" s="4">
        <f>IFERROR(E231/F231,"")</f>
        <v/>
      </c>
    </row>
    <row r="232">
      <c r="A232" s="3" t="n"/>
      <c r="G232" s="4">
        <f>IFERROR(E232/F232,"")</f>
        <v/>
      </c>
    </row>
    <row r="233">
      <c r="A233" s="3" t="n"/>
      <c r="G233" s="4">
        <f>IFERROR(E233/F233,"")</f>
        <v/>
      </c>
    </row>
    <row r="234">
      <c r="A234" s="3" t="n"/>
      <c r="G234" s="4">
        <f>IFERROR(E234/F234,"")</f>
        <v/>
      </c>
    </row>
    <row r="235">
      <c r="A235" s="3" t="n"/>
      <c r="G235" s="4">
        <f>IFERROR(E235/F235,"")</f>
        <v/>
      </c>
    </row>
    <row r="236">
      <c r="A236" s="3" t="n"/>
      <c r="G236" s="4">
        <f>IFERROR(E236/F236,"")</f>
        <v/>
      </c>
    </row>
    <row r="237">
      <c r="A237" s="3" t="n"/>
      <c r="G237" s="4">
        <f>IFERROR(E237/F237,"")</f>
        <v/>
      </c>
    </row>
    <row r="238">
      <c r="A238" s="3" t="n"/>
      <c r="G238" s="4">
        <f>IFERROR(E238/F238,"")</f>
        <v/>
      </c>
    </row>
    <row r="239">
      <c r="A239" s="3" t="n"/>
      <c r="G239" s="4">
        <f>IFERROR(E239/F239,"")</f>
        <v/>
      </c>
    </row>
    <row r="240">
      <c r="A240" s="3" t="n"/>
      <c r="G240" s="4">
        <f>IFERROR(E240/F240,"")</f>
        <v/>
      </c>
    </row>
    <row r="241">
      <c r="A241" s="3" t="n"/>
      <c r="G241" s="4">
        <f>IFERROR(E241/F241,"")</f>
        <v/>
      </c>
    </row>
    <row r="242">
      <c r="A242" s="3" t="n"/>
      <c r="G242" s="4">
        <f>IFERROR(E242/F242,"")</f>
        <v/>
      </c>
    </row>
    <row r="243">
      <c r="A243" s="3" t="n"/>
      <c r="G243" s="4">
        <f>IFERROR(E243/F243,"")</f>
        <v/>
      </c>
    </row>
    <row r="244">
      <c r="A244" s="3" t="n"/>
      <c r="G244" s="4">
        <f>IFERROR(E244/F244,"")</f>
        <v/>
      </c>
    </row>
    <row r="245">
      <c r="A245" s="3" t="n"/>
      <c r="G245" s="4">
        <f>IFERROR(E245/F245,"")</f>
        <v/>
      </c>
    </row>
    <row r="246">
      <c r="A246" s="3" t="n"/>
      <c r="G246" s="4">
        <f>IFERROR(E246/F246,"")</f>
        <v/>
      </c>
    </row>
    <row r="247">
      <c r="A247" s="3" t="n"/>
      <c r="G247" s="4">
        <f>IFERROR(E247/F247,"")</f>
        <v/>
      </c>
    </row>
    <row r="248">
      <c r="A248" s="3" t="n"/>
      <c r="G248" s="4">
        <f>IFERROR(E248/F248,"")</f>
        <v/>
      </c>
    </row>
    <row r="249">
      <c r="A249" s="3" t="n"/>
      <c r="G249" s="4">
        <f>IFERROR(E249/F249,"")</f>
        <v/>
      </c>
    </row>
    <row r="250">
      <c r="A250" s="3" t="n"/>
      <c r="G250" s="4">
        <f>IFERROR(E250/F250,"")</f>
        <v/>
      </c>
    </row>
    <row r="251">
      <c r="A251" s="3" t="n"/>
      <c r="G251" s="4">
        <f>IFERROR(E251/F251,"")</f>
        <v/>
      </c>
    </row>
    <row r="252">
      <c r="A252" s="3" t="n"/>
      <c r="G252" s="4">
        <f>IFERROR(E252/F252,"")</f>
        <v/>
      </c>
    </row>
    <row r="253">
      <c r="A253" s="3" t="n"/>
      <c r="G253" s="4">
        <f>IFERROR(E253/F253,"")</f>
        <v/>
      </c>
    </row>
    <row r="254">
      <c r="A254" s="3" t="n"/>
      <c r="G254" s="4">
        <f>IFERROR(E254/F254,"")</f>
        <v/>
      </c>
    </row>
    <row r="255">
      <c r="A255" s="3" t="n"/>
      <c r="G255" s="4">
        <f>IFERROR(E255/F255,"")</f>
        <v/>
      </c>
    </row>
    <row r="256">
      <c r="A256" s="3" t="n"/>
      <c r="G256" s="4">
        <f>IFERROR(E256/F256,"")</f>
        <v/>
      </c>
    </row>
    <row r="257">
      <c r="A257" s="3" t="n"/>
      <c r="G257" s="4">
        <f>IFERROR(E257/F257,"")</f>
        <v/>
      </c>
    </row>
    <row r="258">
      <c r="A258" s="3" t="n"/>
      <c r="G258" s="4">
        <f>IFERROR(E258/F258,"")</f>
        <v/>
      </c>
    </row>
    <row r="259">
      <c r="A259" s="3" t="n"/>
      <c r="G259" s="4">
        <f>IFERROR(E259/F259,"")</f>
        <v/>
      </c>
    </row>
    <row r="260">
      <c r="A260" s="3" t="n"/>
      <c r="G260" s="4">
        <f>IFERROR(E260/F260,"")</f>
        <v/>
      </c>
    </row>
    <row r="261">
      <c r="A261" s="3" t="n"/>
      <c r="G261" s="4">
        <f>IFERROR(E261/F261,"")</f>
        <v/>
      </c>
    </row>
    <row r="262">
      <c r="A262" s="3" t="n"/>
      <c r="G262" s="4">
        <f>IFERROR(E262/F262,"")</f>
        <v/>
      </c>
    </row>
    <row r="263">
      <c r="A263" s="3" t="n"/>
      <c r="G263" s="4">
        <f>IFERROR(E263/F263,"")</f>
        <v/>
      </c>
    </row>
    <row r="264">
      <c r="A264" s="3" t="n"/>
      <c r="G264" s="4">
        <f>IFERROR(E264/F264,"")</f>
        <v/>
      </c>
    </row>
    <row r="265">
      <c r="A265" s="3" t="n"/>
      <c r="G265" s="4">
        <f>IFERROR(E265/F265,"")</f>
        <v/>
      </c>
    </row>
    <row r="266">
      <c r="A266" s="3" t="n"/>
      <c r="G266" s="4">
        <f>IFERROR(E266/F266,"")</f>
        <v/>
      </c>
    </row>
    <row r="267">
      <c r="A267" s="3" t="n"/>
      <c r="G267" s="4">
        <f>IFERROR(E267/F267,"")</f>
        <v/>
      </c>
    </row>
    <row r="268">
      <c r="A268" s="3" t="n"/>
      <c r="G268" s="4">
        <f>IFERROR(E268/F268,"")</f>
        <v/>
      </c>
    </row>
    <row r="269">
      <c r="A269" s="3" t="n"/>
      <c r="G269" s="4">
        <f>IFERROR(E269/F269,"")</f>
        <v/>
      </c>
    </row>
    <row r="270">
      <c r="A270" s="3" t="n"/>
      <c r="G270" s="4">
        <f>IFERROR(E270/F270,"")</f>
        <v/>
      </c>
    </row>
    <row r="271">
      <c r="A271" s="3" t="n"/>
      <c r="G271" s="4">
        <f>IFERROR(E271/F271,"")</f>
        <v/>
      </c>
    </row>
    <row r="272">
      <c r="A272" s="3" t="n"/>
      <c r="G272" s="4">
        <f>IFERROR(E272/F272,"")</f>
        <v/>
      </c>
    </row>
    <row r="273">
      <c r="A273" s="3" t="n"/>
      <c r="G273" s="4">
        <f>IFERROR(E273/F273,"")</f>
        <v/>
      </c>
    </row>
    <row r="274">
      <c r="A274" s="3" t="n"/>
      <c r="G274" s="4">
        <f>IFERROR(E274/F274,"")</f>
        <v/>
      </c>
    </row>
    <row r="275">
      <c r="A275" s="3" t="n"/>
      <c r="G275" s="4">
        <f>IFERROR(E275/F275,"")</f>
        <v/>
      </c>
    </row>
    <row r="276">
      <c r="A276" s="3" t="n"/>
      <c r="G276" s="4">
        <f>IFERROR(E276/F276,"")</f>
        <v/>
      </c>
    </row>
    <row r="277">
      <c r="A277" s="3" t="n"/>
      <c r="G277" s="4">
        <f>IFERROR(E277/F277,"")</f>
        <v/>
      </c>
    </row>
    <row r="278">
      <c r="A278" s="3" t="n"/>
      <c r="G278" s="4">
        <f>IFERROR(E278/F278,"")</f>
        <v/>
      </c>
    </row>
    <row r="279">
      <c r="A279" s="3" t="n"/>
      <c r="G279" s="4">
        <f>IFERROR(E279/F279,"")</f>
        <v/>
      </c>
    </row>
    <row r="280">
      <c r="A280" s="3" t="n"/>
      <c r="G280" s="4">
        <f>IFERROR(E280/F280,"")</f>
        <v/>
      </c>
    </row>
    <row r="281">
      <c r="A281" s="3" t="n"/>
      <c r="G281" s="4">
        <f>IFERROR(E281/F281,"")</f>
        <v/>
      </c>
    </row>
    <row r="282">
      <c r="A282" s="3" t="n"/>
      <c r="G282" s="4">
        <f>IFERROR(E282/F282,"")</f>
        <v/>
      </c>
    </row>
    <row r="283">
      <c r="A283" s="3" t="n"/>
      <c r="G283" s="4">
        <f>IFERROR(E283/F283,"")</f>
        <v/>
      </c>
    </row>
    <row r="284">
      <c r="A284" s="3" t="n"/>
      <c r="G284" s="4">
        <f>IFERROR(E284/F284,"")</f>
        <v/>
      </c>
    </row>
    <row r="285">
      <c r="A285" s="3" t="n"/>
      <c r="G285" s="4">
        <f>IFERROR(E285/F285,"")</f>
        <v/>
      </c>
    </row>
    <row r="286">
      <c r="A286" s="3" t="n"/>
      <c r="G286" s="4">
        <f>IFERROR(E286/F286,"")</f>
        <v/>
      </c>
    </row>
    <row r="287">
      <c r="A287" s="3" t="n"/>
      <c r="G287" s="4">
        <f>IFERROR(E287/F287,"")</f>
        <v/>
      </c>
    </row>
    <row r="288">
      <c r="A288" s="3" t="n"/>
      <c r="G288" s="4">
        <f>IFERROR(E288/F288,"")</f>
        <v/>
      </c>
    </row>
    <row r="289">
      <c r="A289" s="3" t="n"/>
      <c r="G289" s="4">
        <f>IFERROR(E289/F289,"")</f>
        <v/>
      </c>
    </row>
    <row r="290">
      <c r="A290" s="3" t="n"/>
      <c r="G290" s="4">
        <f>IFERROR(E290/F290,"")</f>
        <v/>
      </c>
    </row>
    <row r="291">
      <c r="A291" s="3" t="n"/>
      <c r="G291" s="4">
        <f>IFERROR(E291/F291,"")</f>
        <v/>
      </c>
    </row>
    <row r="292">
      <c r="A292" s="3" t="n"/>
      <c r="G292" s="4">
        <f>IFERROR(E292/F292,"")</f>
        <v/>
      </c>
    </row>
    <row r="293">
      <c r="A293" s="3" t="n"/>
      <c r="G293" s="4">
        <f>IFERROR(E293/F293,"")</f>
        <v/>
      </c>
    </row>
    <row r="294">
      <c r="A294" s="3" t="n"/>
      <c r="G294" s="4">
        <f>IFERROR(E294/F294,"")</f>
        <v/>
      </c>
    </row>
    <row r="295">
      <c r="A295" s="3" t="n"/>
      <c r="G295" s="4">
        <f>IFERROR(E295/F295,"")</f>
        <v/>
      </c>
    </row>
    <row r="296">
      <c r="A296" s="3" t="n"/>
      <c r="G296" s="4">
        <f>IFERROR(E296/F296,"")</f>
        <v/>
      </c>
    </row>
    <row r="297">
      <c r="A297" s="3" t="n"/>
      <c r="G297" s="4">
        <f>IFERROR(E297/F297,"")</f>
        <v/>
      </c>
    </row>
    <row r="298">
      <c r="A298" s="3" t="n"/>
      <c r="G298" s="4">
        <f>IFERROR(E298/F298,"")</f>
        <v/>
      </c>
    </row>
    <row r="299">
      <c r="A299" s="3" t="n"/>
      <c r="G299" s="4">
        <f>IFERROR(E299/F299,"")</f>
        <v/>
      </c>
    </row>
    <row r="300">
      <c r="A300" s="3" t="n"/>
      <c r="G300" s="4">
        <f>IFERROR(E300/F300,"")</f>
        <v/>
      </c>
    </row>
    <row r="301">
      <c r="A301" s="3" t="n"/>
      <c r="G301" s="4">
        <f>IFERROR(E301/F301,"")</f>
        <v/>
      </c>
    </row>
    <row r="302">
      <c r="A302" s="3" t="n"/>
      <c r="G302" s="4">
        <f>IFERROR(E302/F302,"")</f>
        <v/>
      </c>
    </row>
    <row r="303">
      <c r="A303" s="3" t="n"/>
      <c r="G303" s="4">
        <f>IFERROR(E303/F303,"")</f>
        <v/>
      </c>
    </row>
    <row r="304">
      <c r="A304" s="3" t="n"/>
      <c r="G304" s="4">
        <f>IFERROR(E304/F304,"")</f>
        <v/>
      </c>
    </row>
    <row r="305">
      <c r="A305" s="3" t="n"/>
      <c r="G305" s="4">
        <f>IFERROR(E305/F305,"")</f>
        <v/>
      </c>
    </row>
    <row r="306">
      <c r="A306" s="3" t="n"/>
      <c r="G306" s="4">
        <f>IFERROR(E306/F306,"")</f>
        <v/>
      </c>
    </row>
    <row r="307">
      <c r="A307" s="3" t="n"/>
      <c r="G307" s="4">
        <f>IFERROR(E307/F307,"")</f>
        <v/>
      </c>
    </row>
    <row r="308">
      <c r="A308" s="3" t="n"/>
      <c r="G308" s="4">
        <f>IFERROR(E308/F308,"")</f>
        <v/>
      </c>
    </row>
    <row r="309">
      <c r="A309" s="3" t="n"/>
      <c r="G309" s="4">
        <f>IFERROR(E309/F309,"")</f>
        <v/>
      </c>
    </row>
    <row r="310">
      <c r="A310" s="3" t="n"/>
      <c r="G310" s="4">
        <f>IFERROR(E310/F310,"")</f>
        <v/>
      </c>
    </row>
    <row r="311">
      <c r="A311" s="3" t="n"/>
      <c r="G311" s="4">
        <f>IFERROR(E311/F311,"")</f>
        <v/>
      </c>
    </row>
    <row r="312">
      <c r="A312" s="3" t="n"/>
      <c r="G312" s="4">
        <f>IFERROR(E312/F312,"")</f>
        <v/>
      </c>
    </row>
    <row r="313">
      <c r="A313" s="3" t="n"/>
      <c r="G313" s="4">
        <f>IFERROR(E313/F313,"")</f>
        <v/>
      </c>
    </row>
    <row r="314">
      <c r="A314" s="3" t="n"/>
      <c r="G314" s="4">
        <f>IFERROR(E314/F314,"")</f>
        <v/>
      </c>
    </row>
    <row r="315">
      <c r="A315" s="3" t="n"/>
      <c r="G315" s="4">
        <f>IFERROR(E315/F315,"")</f>
        <v/>
      </c>
    </row>
    <row r="316">
      <c r="A316" s="3" t="n"/>
      <c r="G316" s="4">
        <f>IFERROR(E316/F316,"")</f>
        <v/>
      </c>
    </row>
    <row r="317">
      <c r="A317" s="3" t="n"/>
      <c r="G317" s="4">
        <f>IFERROR(E317/F317,"")</f>
        <v/>
      </c>
    </row>
    <row r="318">
      <c r="A318" s="3" t="n"/>
      <c r="G318" s="4">
        <f>IFERROR(E318/F318,"")</f>
        <v/>
      </c>
    </row>
    <row r="319">
      <c r="A319" s="3" t="n"/>
      <c r="G319" s="4">
        <f>IFERROR(E319/F319,"")</f>
        <v/>
      </c>
    </row>
    <row r="320">
      <c r="A320" s="3" t="n"/>
      <c r="G320" s="4">
        <f>IFERROR(E320/F320,"")</f>
        <v/>
      </c>
    </row>
    <row r="321">
      <c r="A321" s="3" t="n"/>
      <c r="G321" s="4">
        <f>IFERROR(E321/F321,"")</f>
        <v/>
      </c>
    </row>
    <row r="322">
      <c r="A322" s="3" t="n"/>
      <c r="G322" s="4">
        <f>IFERROR(E322/F322,"")</f>
        <v/>
      </c>
    </row>
    <row r="323">
      <c r="A323" s="3" t="n"/>
      <c r="G323" s="4">
        <f>IFERROR(E323/F323,"")</f>
        <v/>
      </c>
    </row>
    <row r="324">
      <c r="A324" s="3" t="n"/>
      <c r="G324" s="4">
        <f>IFERROR(E324/F324,"")</f>
        <v/>
      </c>
    </row>
    <row r="325">
      <c r="A325" s="3" t="n"/>
      <c r="G325" s="4">
        <f>IFERROR(E325/F325,"")</f>
        <v/>
      </c>
    </row>
    <row r="326">
      <c r="A326" s="3" t="n"/>
      <c r="G326" s="4">
        <f>IFERROR(E326/F326,"")</f>
        <v/>
      </c>
    </row>
    <row r="327">
      <c r="A327" s="3" t="n"/>
      <c r="G327" s="4">
        <f>IFERROR(E327/F327,"")</f>
        <v/>
      </c>
    </row>
    <row r="328">
      <c r="A328" s="3" t="n"/>
      <c r="G328" s="4">
        <f>IFERROR(E328/F328,"")</f>
        <v/>
      </c>
    </row>
    <row r="329">
      <c r="A329" s="3" t="n"/>
      <c r="G329" s="4">
        <f>IFERROR(E329/F329,"")</f>
        <v/>
      </c>
    </row>
    <row r="330">
      <c r="A330" s="3" t="n"/>
      <c r="G330" s="4">
        <f>IFERROR(E330/F330,"")</f>
        <v/>
      </c>
    </row>
    <row r="331">
      <c r="A331" s="3" t="n"/>
      <c r="G331" s="4">
        <f>IFERROR(E331/F331,"")</f>
        <v/>
      </c>
    </row>
    <row r="332">
      <c r="A332" s="3" t="n"/>
      <c r="G332" s="4">
        <f>IFERROR(E332/F332,"")</f>
        <v/>
      </c>
    </row>
    <row r="333">
      <c r="A333" s="3" t="n"/>
      <c r="G333" s="4">
        <f>IFERROR(E333/F333,"")</f>
        <v/>
      </c>
    </row>
    <row r="334">
      <c r="A334" s="3" t="n"/>
      <c r="G334" s="4">
        <f>IFERROR(E334/F334,"")</f>
        <v/>
      </c>
    </row>
    <row r="335">
      <c r="A335" s="3" t="n"/>
      <c r="G335" s="4">
        <f>IFERROR(E335/F335,"")</f>
        <v/>
      </c>
    </row>
    <row r="336">
      <c r="A336" s="3" t="n"/>
      <c r="G336" s="4">
        <f>IFERROR(E336/F336,"")</f>
        <v/>
      </c>
    </row>
    <row r="337">
      <c r="A337" s="3" t="n"/>
      <c r="G337" s="4">
        <f>IFERROR(E337/F337,"")</f>
        <v/>
      </c>
    </row>
    <row r="338">
      <c r="A338" s="3" t="n"/>
      <c r="G338" s="4">
        <f>IFERROR(E338/F338,"")</f>
        <v/>
      </c>
    </row>
    <row r="339">
      <c r="A339" s="3" t="n"/>
      <c r="G339" s="4">
        <f>IFERROR(E339/F339,"")</f>
        <v/>
      </c>
    </row>
    <row r="340">
      <c r="A340" s="3" t="n"/>
      <c r="G340" s="4">
        <f>IFERROR(E340/F340,"")</f>
        <v/>
      </c>
    </row>
    <row r="341">
      <c r="A341" s="3" t="n"/>
      <c r="G341" s="4">
        <f>IFERROR(E341/F341,"")</f>
        <v/>
      </c>
    </row>
    <row r="342">
      <c r="A342" s="3" t="n"/>
      <c r="G342" s="4">
        <f>IFERROR(E342/F342,"")</f>
        <v/>
      </c>
    </row>
    <row r="343">
      <c r="A343" s="3" t="n"/>
      <c r="G343" s="4">
        <f>IFERROR(E343/F343,"")</f>
        <v/>
      </c>
    </row>
    <row r="344">
      <c r="A344" s="3" t="n"/>
      <c r="G344" s="4">
        <f>IFERROR(E344/F344,"")</f>
        <v/>
      </c>
    </row>
    <row r="345">
      <c r="A345" s="3" t="n"/>
      <c r="G345" s="4">
        <f>IFERROR(E345/F345,"")</f>
        <v/>
      </c>
    </row>
    <row r="346">
      <c r="A346" s="3" t="n"/>
      <c r="G346" s="4">
        <f>IFERROR(E346/F346,"")</f>
        <v/>
      </c>
    </row>
    <row r="347">
      <c r="A347" s="3" t="n"/>
      <c r="G347" s="4">
        <f>IFERROR(E347/F347,"")</f>
        <v/>
      </c>
    </row>
    <row r="348">
      <c r="A348" s="3" t="n"/>
      <c r="G348" s="4">
        <f>IFERROR(E348/F348,"")</f>
        <v/>
      </c>
    </row>
    <row r="349">
      <c r="A349" s="3" t="n"/>
      <c r="G349" s="4">
        <f>IFERROR(E349/F349,"")</f>
        <v/>
      </c>
    </row>
    <row r="350">
      <c r="A350" s="3" t="n"/>
      <c r="G350" s="4">
        <f>IFERROR(E350/F350,"")</f>
        <v/>
      </c>
    </row>
    <row r="351">
      <c r="A351" s="3" t="n"/>
      <c r="G351" s="4">
        <f>IFERROR(E351/F351,"")</f>
        <v/>
      </c>
    </row>
    <row r="352">
      <c r="A352" s="3" t="n"/>
      <c r="G352" s="4">
        <f>IFERROR(E352/F352,"")</f>
        <v/>
      </c>
    </row>
    <row r="353">
      <c r="A353" s="3" t="n"/>
      <c r="G353" s="4">
        <f>IFERROR(E353/F353,"")</f>
        <v/>
      </c>
    </row>
    <row r="354">
      <c r="A354" s="3" t="n"/>
      <c r="G354" s="4">
        <f>IFERROR(E354/F354,"")</f>
        <v/>
      </c>
    </row>
    <row r="355">
      <c r="A355" s="3" t="n"/>
      <c r="G355" s="4">
        <f>IFERROR(E355/F355,"")</f>
        <v/>
      </c>
    </row>
    <row r="356">
      <c r="A356" s="3" t="n"/>
      <c r="G356" s="4">
        <f>IFERROR(E356/F356,"")</f>
        <v/>
      </c>
    </row>
    <row r="357">
      <c r="A357" s="3" t="n"/>
      <c r="G357" s="4">
        <f>IFERROR(E357/F357,"")</f>
        <v/>
      </c>
    </row>
    <row r="358">
      <c r="A358" s="3" t="n"/>
      <c r="G358" s="4">
        <f>IFERROR(E358/F358,"")</f>
        <v/>
      </c>
    </row>
    <row r="359">
      <c r="A359" s="3" t="n"/>
      <c r="G359" s="4">
        <f>IFERROR(E359/F359,"")</f>
        <v/>
      </c>
    </row>
    <row r="360">
      <c r="A360" s="3" t="n"/>
      <c r="G360" s="4">
        <f>IFERROR(E360/F360,"")</f>
        <v/>
      </c>
    </row>
    <row r="361">
      <c r="A361" s="3" t="n"/>
      <c r="G361" s="4">
        <f>IFERROR(E361/F361,"")</f>
        <v/>
      </c>
    </row>
    <row r="362">
      <c r="A362" s="3" t="n"/>
      <c r="G362" s="4">
        <f>IFERROR(E362/F362,"")</f>
        <v/>
      </c>
    </row>
    <row r="363">
      <c r="A363" s="3" t="n"/>
      <c r="G363" s="4">
        <f>IFERROR(E363/F363,"")</f>
        <v/>
      </c>
    </row>
    <row r="364">
      <c r="A364" s="3" t="n"/>
      <c r="G364" s="4">
        <f>IFERROR(E364/F364,"")</f>
        <v/>
      </c>
    </row>
    <row r="365">
      <c r="A365" s="3" t="n"/>
      <c r="G365" s="4">
        <f>IFERROR(E365/F365,"")</f>
        <v/>
      </c>
    </row>
    <row r="366">
      <c r="A366" s="3" t="n"/>
      <c r="G366" s="4">
        <f>IFERROR(E366/F366,"")</f>
        <v/>
      </c>
    </row>
    <row r="367">
      <c r="A367" s="3" t="n"/>
      <c r="G367" s="4">
        <f>IFERROR(E367/F367,"")</f>
        <v/>
      </c>
    </row>
    <row r="368">
      <c r="A368" s="3" t="n"/>
      <c r="G368" s="4">
        <f>IFERROR(E368/F368,"")</f>
        <v/>
      </c>
    </row>
    <row r="369">
      <c r="A369" s="3" t="n"/>
      <c r="G369" s="4">
        <f>IFERROR(E369/F369,"")</f>
        <v/>
      </c>
    </row>
    <row r="370">
      <c r="A370" s="3" t="n"/>
      <c r="G370" s="4">
        <f>IFERROR(E370/F370,"")</f>
        <v/>
      </c>
    </row>
    <row r="371">
      <c r="A371" s="3" t="n"/>
      <c r="G371" s="4">
        <f>IFERROR(E371/F371,"")</f>
        <v/>
      </c>
    </row>
    <row r="372">
      <c r="A372" s="3" t="n"/>
      <c r="G372" s="4">
        <f>IFERROR(E372/F372,"")</f>
        <v/>
      </c>
    </row>
    <row r="373">
      <c r="A373" s="3" t="n"/>
      <c r="G373" s="4">
        <f>IFERROR(E373/F373,"")</f>
        <v/>
      </c>
    </row>
    <row r="374">
      <c r="A374" s="3" t="n"/>
      <c r="G374" s="4">
        <f>IFERROR(E374/F374,"")</f>
        <v/>
      </c>
    </row>
    <row r="375">
      <c r="A375" s="3" t="n"/>
      <c r="G375" s="4">
        <f>IFERROR(E375/F375,"")</f>
        <v/>
      </c>
    </row>
    <row r="376">
      <c r="A376" s="3" t="n"/>
      <c r="G376" s="4">
        <f>IFERROR(E376/F376,"")</f>
        <v/>
      </c>
    </row>
    <row r="377">
      <c r="A377" s="3" t="n"/>
      <c r="G377" s="4">
        <f>IFERROR(E377/F377,"")</f>
        <v/>
      </c>
    </row>
    <row r="378">
      <c r="A378" s="3" t="n"/>
      <c r="G378" s="4">
        <f>IFERROR(E378/F378,"")</f>
        <v/>
      </c>
    </row>
    <row r="379">
      <c r="A379" s="3" t="n"/>
      <c r="G379" s="4">
        <f>IFERROR(E379/F379,"")</f>
        <v/>
      </c>
    </row>
    <row r="380">
      <c r="A380" s="3" t="n"/>
      <c r="G380" s="4">
        <f>IFERROR(E380/F380,"")</f>
        <v/>
      </c>
    </row>
    <row r="381">
      <c r="A381" s="3" t="n"/>
      <c r="G381" s="4">
        <f>IFERROR(E381/F381,"")</f>
        <v/>
      </c>
    </row>
    <row r="382">
      <c r="A382" s="3" t="n"/>
      <c r="G382" s="4">
        <f>IFERROR(E382/F382,"")</f>
        <v/>
      </c>
    </row>
    <row r="383">
      <c r="A383" s="3" t="n"/>
      <c r="G383" s="4">
        <f>IFERROR(E383/F383,"")</f>
        <v/>
      </c>
    </row>
    <row r="384">
      <c r="A384" s="3" t="n"/>
      <c r="G384" s="4">
        <f>IFERROR(E384/F384,"")</f>
        <v/>
      </c>
    </row>
    <row r="385">
      <c r="A385" s="3" t="n"/>
      <c r="G385" s="4">
        <f>IFERROR(E385/F385,"")</f>
        <v/>
      </c>
    </row>
    <row r="386">
      <c r="A386" s="3" t="n"/>
      <c r="G386" s="4">
        <f>IFERROR(E386/F386,"")</f>
        <v/>
      </c>
    </row>
    <row r="387">
      <c r="A387" s="3" t="n"/>
      <c r="G387" s="4">
        <f>IFERROR(E387/F387,"")</f>
        <v/>
      </c>
    </row>
    <row r="388">
      <c r="A388" s="3" t="n"/>
      <c r="G388" s="4">
        <f>IFERROR(E388/F388,"")</f>
        <v/>
      </c>
    </row>
    <row r="389">
      <c r="A389" s="3" t="n"/>
      <c r="G389" s="4">
        <f>IFERROR(E389/F389,"")</f>
        <v/>
      </c>
    </row>
    <row r="390">
      <c r="A390" s="3" t="n"/>
      <c r="G390" s="4">
        <f>IFERROR(E390/F390,"")</f>
        <v/>
      </c>
    </row>
    <row r="391">
      <c r="A391" s="3" t="n"/>
      <c r="G391" s="4">
        <f>IFERROR(E391/F391,"")</f>
        <v/>
      </c>
    </row>
    <row r="392">
      <c r="A392" s="3" t="n"/>
      <c r="G392" s="4">
        <f>IFERROR(E392/F392,"")</f>
        <v/>
      </c>
    </row>
    <row r="393">
      <c r="A393" s="3" t="n"/>
      <c r="G393" s="4">
        <f>IFERROR(E393/F393,"")</f>
        <v/>
      </c>
    </row>
    <row r="394">
      <c r="A394" s="3" t="n"/>
      <c r="G394" s="4">
        <f>IFERROR(E394/F394,"")</f>
        <v/>
      </c>
    </row>
    <row r="395">
      <c r="A395" s="3" t="n"/>
      <c r="G395" s="4">
        <f>IFERROR(E395/F395,"")</f>
        <v/>
      </c>
    </row>
    <row r="396">
      <c r="A396" s="3" t="n"/>
      <c r="G396" s="4">
        <f>IFERROR(E396/F396,"")</f>
        <v/>
      </c>
    </row>
    <row r="397">
      <c r="A397" s="3" t="n"/>
      <c r="G397" s="4">
        <f>IFERROR(E397/F397,"")</f>
        <v/>
      </c>
    </row>
    <row r="398">
      <c r="A398" s="3" t="n"/>
      <c r="G398" s="4">
        <f>IFERROR(E398/F398,"")</f>
        <v/>
      </c>
    </row>
    <row r="399">
      <c r="A399" s="3" t="n"/>
      <c r="G399" s="4">
        <f>IFERROR(E399/F399,"")</f>
        <v/>
      </c>
    </row>
    <row r="400">
      <c r="A400" s="3" t="n"/>
      <c r="G400" s="4">
        <f>IFERROR(E400/F400,"")</f>
        <v/>
      </c>
    </row>
    <row r="401">
      <c r="A401" s="3" t="n"/>
      <c r="G401" s="4">
        <f>IFERROR(E401/F401,"")</f>
        <v/>
      </c>
    </row>
    <row r="402">
      <c r="A402" s="3" t="n"/>
      <c r="G402" s="4">
        <f>IFERROR(E402/F402,"")</f>
        <v/>
      </c>
    </row>
    <row r="403">
      <c r="A403" s="3" t="n"/>
      <c r="G403" s="4">
        <f>IFERROR(E403/F403,"")</f>
        <v/>
      </c>
    </row>
    <row r="404">
      <c r="A404" s="3" t="n"/>
      <c r="G404" s="4">
        <f>IFERROR(E404/F404,"")</f>
        <v/>
      </c>
    </row>
    <row r="405">
      <c r="A405" s="3" t="n"/>
      <c r="G405" s="4">
        <f>IFERROR(E405/F405,"")</f>
        <v/>
      </c>
    </row>
    <row r="406">
      <c r="A406" s="3" t="n"/>
      <c r="G406" s="4">
        <f>IFERROR(E406/F406,"")</f>
        <v/>
      </c>
    </row>
    <row r="407">
      <c r="A407" s="3" t="n"/>
      <c r="G407" s="4">
        <f>IFERROR(E407/F407,"")</f>
        <v/>
      </c>
    </row>
    <row r="408">
      <c r="A408" s="3" t="n"/>
      <c r="G408" s="4">
        <f>IFERROR(E408/F408,"")</f>
        <v/>
      </c>
    </row>
    <row r="409">
      <c r="A409" s="3" t="n"/>
      <c r="G409" s="4">
        <f>IFERROR(E409/F409,"")</f>
        <v/>
      </c>
    </row>
    <row r="410">
      <c r="A410" s="3" t="n"/>
      <c r="G410" s="4">
        <f>IFERROR(E410/F410,"")</f>
        <v/>
      </c>
    </row>
    <row r="411">
      <c r="A411" s="3" t="n"/>
      <c r="G411" s="4">
        <f>IFERROR(E411/F411,"")</f>
        <v/>
      </c>
    </row>
    <row r="412">
      <c r="A412" s="3" t="n"/>
      <c r="G412" s="4">
        <f>IFERROR(E412/F412,"")</f>
        <v/>
      </c>
    </row>
    <row r="413">
      <c r="A413" s="3" t="n"/>
      <c r="G413" s="4">
        <f>IFERROR(E413/F413,"")</f>
        <v/>
      </c>
    </row>
    <row r="414">
      <c r="A414" s="3" t="n"/>
      <c r="G414" s="4">
        <f>IFERROR(E414/F414,"")</f>
        <v/>
      </c>
    </row>
    <row r="415">
      <c r="A415" s="3" t="n"/>
      <c r="G415" s="4">
        <f>IFERROR(E415/F415,"")</f>
        <v/>
      </c>
    </row>
    <row r="416">
      <c r="A416" s="3" t="n"/>
      <c r="G416" s="4">
        <f>IFERROR(E416/F416,"")</f>
        <v/>
      </c>
    </row>
    <row r="417">
      <c r="A417" s="3" t="n"/>
      <c r="G417" s="4">
        <f>IFERROR(E417/F417,"")</f>
        <v/>
      </c>
    </row>
    <row r="418">
      <c r="A418" s="3" t="n"/>
      <c r="G418" s="4">
        <f>IFERROR(E418/F418,"")</f>
        <v/>
      </c>
    </row>
    <row r="419">
      <c r="A419" s="3" t="n"/>
      <c r="G419" s="4">
        <f>IFERROR(E419/F419,"")</f>
        <v/>
      </c>
    </row>
    <row r="420">
      <c r="A420" s="3" t="n"/>
      <c r="G420" s="4">
        <f>IFERROR(E420/F420,"")</f>
        <v/>
      </c>
    </row>
    <row r="421">
      <c r="A421" s="3" t="n"/>
      <c r="G421" s="4">
        <f>IFERROR(E421/F421,"")</f>
        <v/>
      </c>
    </row>
    <row r="422">
      <c r="A422" s="3" t="n"/>
      <c r="G422" s="4">
        <f>IFERROR(E422/F422,"")</f>
        <v/>
      </c>
    </row>
    <row r="423">
      <c r="A423" s="3" t="n"/>
      <c r="G423" s="4">
        <f>IFERROR(E423/F423,"")</f>
        <v/>
      </c>
    </row>
    <row r="424">
      <c r="A424" s="3" t="n"/>
      <c r="G424" s="4">
        <f>IFERROR(E424/F424,"")</f>
        <v/>
      </c>
    </row>
    <row r="425">
      <c r="A425" s="3" t="n"/>
      <c r="G425" s="4">
        <f>IFERROR(E425/F425,"")</f>
        <v/>
      </c>
    </row>
    <row r="426">
      <c r="A426" s="3" t="n"/>
      <c r="G426" s="4">
        <f>IFERROR(E426/F426,"")</f>
        <v/>
      </c>
    </row>
    <row r="427">
      <c r="A427" s="3" t="n"/>
      <c r="G427" s="4">
        <f>IFERROR(E427/F427,"")</f>
        <v/>
      </c>
    </row>
    <row r="428">
      <c r="A428" s="3" t="n"/>
      <c r="G428" s="4">
        <f>IFERROR(E428/F428,"")</f>
        <v/>
      </c>
    </row>
    <row r="429">
      <c r="A429" s="3" t="n"/>
      <c r="G429" s="4">
        <f>IFERROR(E429/F429,"")</f>
        <v/>
      </c>
    </row>
    <row r="430">
      <c r="A430" s="3" t="n"/>
      <c r="G430" s="4">
        <f>IFERROR(E430/F430,"")</f>
        <v/>
      </c>
    </row>
    <row r="431">
      <c r="A431" s="3" t="n"/>
      <c r="G431" s="4">
        <f>IFERROR(E431/F431,"")</f>
        <v/>
      </c>
    </row>
    <row r="432">
      <c r="A432" s="3" t="n"/>
      <c r="G432" s="4">
        <f>IFERROR(E432/F432,"")</f>
        <v/>
      </c>
    </row>
    <row r="433">
      <c r="A433" s="3" t="n"/>
      <c r="G433" s="4">
        <f>IFERROR(E433/F433,"")</f>
        <v/>
      </c>
    </row>
    <row r="434">
      <c r="A434" s="3" t="n"/>
      <c r="G434" s="4">
        <f>IFERROR(E434/F434,"")</f>
        <v/>
      </c>
    </row>
    <row r="435">
      <c r="A435" s="3" t="n"/>
      <c r="G435" s="4">
        <f>IFERROR(E435/F435,"")</f>
        <v/>
      </c>
    </row>
    <row r="436">
      <c r="A436" s="3" t="n"/>
      <c r="G436" s="4">
        <f>IFERROR(E436/F436,"")</f>
        <v/>
      </c>
    </row>
    <row r="437">
      <c r="A437" s="3" t="n"/>
      <c r="G437" s="4">
        <f>IFERROR(E437/F437,"")</f>
        <v/>
      </c>
    </row>
    <row r="438">
      <c r="A438" s="3" t="n"/>
      <c r="G438" s="4">
        <f>IFERROR(E438/F438,"")</f>
        <v/>
      </c>
    </row>
    <row r="439">
      <c r="A439" s="3" t="n"/>
      <c r="G439" s="4">
        <f>IFERROR(E439/F439,"")</f>
        <v/>
      </c>
    </row>
    <row r="440">
      <c r="A440" s="3" t="n"/>
      <c r="G440" s="4">
        <f>IFERROR(E440/F440,"")</f>
        <v/>
      </c>
    </row>
    <row r="441">
      <c r="A441" s="3" t="n"/>
      <c r="G441" s="4">
        <f>IFERROR(E441/F441,"")</f>
        <v/>
      </c>
    </row>
    <row r="442">
      <c r="A442" s="3" t="n"/>
      <c r="G442" s="4">
        <f>IFERROR(E442/F442,"")</f>
        <v/>
      </c>
    </row>
    <row r="443">
      <c r="A443" s="3" t="n"/>
      <c r="G443" s="4">
        <f>IFERROR(E443/F443,"")</f>
        <v/>
      </c>
    </row>
    <row r="444">
      <c r="A444" s="3" t="n"/>
      <c r="G444" s="4">
        <f>IFERROR(E444/F444,"")</f>
        <v/>
      </c>
    </row>
    <row r="445">
      <c r="A445" s="3" t="n"/>
      <c r="G445" s="4">
        <f>IFERROR(E445/F445,"")</f>
        <v/>
      </c>
    </row>
    <row r="446">
      <c r="A446" s="3" t="n"/>
      <c r="G446" s="4">
        <f>IFERROR(E446/F446,"")</f>
        <v/>
      </c>
    </row>
    <row r="447">
      <c r="A447" s="3" t="n"/>
      <c r="G447" s="4">
        <f>IFERROR(E447/F447,"")</f>
        <v/>
      </c>
    </row>
    <row r="448">
      <c r="A448" s="3" t="n"/>
      <c r="G448" s="4">
        <f>IFERROR(E448/F448,"")</f>
        <v/>
      </c>
    </row>
    <row r="449">
      <c r="A449" s="3" t="n"/>
      <c r="G449" s="4">
        <f>IFERROR(E449/F449,"")</f>
        <v/>
      </c>
    </row>
    <row r="450">
      <c r="A450" s="3" t="n"/>
      <c r="G450" s="4">
        <f>IFERROR(E450/F450,"")</f>
        <v/>
      </c>
    </row>
    <row r="451">
      <c r="A451" s="3" t="n"/>
      <c r="G451" s="4">
        <f>IFERROR(E451/F451,"")</f>
        <v/>
      </c>
    </row>
    <row r="452">
      <c r="A452" s="3" t="n"/>
      <c r="G452" s="4">
        <f>IFERROR(E452/F452,"")</f>
        <v/>
      </c>
    </row>
    <row r="453">
      <c r="A453" s="3" t="n"/>
      <c r="G453" s="4">
        <f>IFERROR(E453/F453,"")</f>
        <v/>
      </c>
    </row>
    <row r="454">
      <c r="A454" s="3" t="n"/>
      <c r="G454" s="4">
        <f>IFERROR(E454/F454,"")</f>
        <v/>
      </c>
    </row>
    <row r="455">
      <c r="A455" s="3" t="n"/>
      <c r="G455" s="4">
        <f>IFERROR(E455/F455,"")</f>
        <v/>
      </c>
    </row>
    <row r="456">
      <c r="A456" s="3" t="n"/>
      <c r="G456" s="4">
        <f>IFERROR(E456/F456,"")</f>
        <v/>
      </c>
    </row>
    <row r="457">
      <c r="A457" s="3" t="n"/>
      <c r="G457" s="4">
        <f>IFERROR(E457/F457,"")</f>
        <v/>
      </c>
    </row>
    <row r="458">
      <c r="A458" s="3" t="n"/>
      <c r="G458" s="4">
        <f>IFERROR(E458/F458,"")</f>
        <v/>
      </c>
    </row>
    <row r="459">
      <c r="A459" s="3" t="n"/>
      <c r="G459" s="4">
        <f>IFERROR(E459/F459,"")</f>
        <v/>
      </c>
    </row>
    <row r="460">
      <c r="A460" s="3" t="n"/>
      <c r="G460" s="4">
        <f>IFERROR(E460/F460,"")</f>
        <v/>
      </c>
    </row>
    <row r="461">
      <c r="A461" s="3" t="n"/>
      <c r="G461" s="4">
        <f>IFERROR(E461/F461,"")</f>
        <v/>
      </c>
    </row>
    <row r="462">
      <c r="A462" s="3" t="n"/>
      <c r="G462" s="4">
        <f>IFERROR(E462/F462,"")</f>
        <v/>
      </c>
    </row>
    <row r="463">
      <c r="A463" s="3" t="n"/>
      <c r="G463" s="4">
        <f>IFERROR(E463/F463,"")</f>
        <v/>
      </c>
    </row>
    <row r="464">
      <c r="A464" s="3" t="n"/>
      <c r="G464" s="4">
        <f>IFERROR(E464/F464,"")</f>
        <v/>
      </c>
    </row>
    <row r="465">
      <c r="A465" s="3" t="n"/>
      <c r="G465" s="4">
        <f>IFERROR(E465/F465,"")</f>
        <v/>
      </c>
    </row>
    <row r="466">
      <c r="A466" s="3" t="n"/>
      <c r="G466" s="4">
        <f>IFERROR(E466/F466,"")</f>
        <v/>
      </c>
    </row>
    <row r="467">
      <c r="A467" s="3" t="n"/>
      <c r="G467" s="4">
        <f>IFERROR(E467/F467,"")</f>
        <v/>
      </c>
    </row>
    <row r="468">
      <c r="A468" s="3" t="n"/>
      <c r="G468" s="4">
        <f>IFERROR(E468/F468,"")</f>
        <v/>
      </c>
    </row>
    <row r="469">
      <c r="A469" s="3" t="n"/>
      <c r="G469" s="4">
        <f>IFERROR(E469/F469,"")</f>
        <v/>
      </c>
    </row>
    <row r="470">
      <c r="A470" s="3" t="n"/>
      <c r="G470" s="4">
        <f>IFERROR(E470/F470,"")</f>
        <v/>
      </c>
    </row>
    <row r="471">
      <c r="A471" s="3" t="n"/>
      <c r="G471" s="4">
        <f>IFERROR(E471/F471,"")</f>
        <v/>
      </c>
    </row>
    <row r="472">
      <c r="A472" s="3" t="n"/>
      <c r="G472" s="4">
        <f>IFERROR(E472/F472,"")</f>
        <v/>
      </c>
    </row>
    <row r="473">
      <c r="A473" s="3" t="n"/>
      <c r="G473" s="4">
        <f>IFERROR(E473/F473,"")</f>
        <v/>
      </c>
    </row>
    <row r="474">
      <c r="A474" s="3" t="n"/>
      <c r="G474" s="4">
        <f>IFERROR(E474/F474,"")</f>
        <v/>
      </c>
    </row>
    <row r="475">
      <c r="A475" s="3" t="n"/>
      <c r="G475" s="4">
        <f>IFERROR(E475/F475,"")</f>
        <v/>
      </c>
    </row>
    <row r="476">
      <c r="A476" s="3" t="n"/>
      <c r="G476" s="4">
        <f>IFERROR(E476/F476,"")</f>
        <v/>
      </c>
    </row>
    <row r="477">
      <c r="A477" s="3" t="n"/>
      <c r="G477" s="4">
        <f>IFERROR(E477/F477,"")</f>
        <v/>
      </c>
    </row>
    <row r="478">
      <c r="A478" s="3" t="n"/>
      <c r="G478" s="4">
        <f>IFERROR(E478/F478,"")</f>
        <v/>
      </c>
    </row>
    <row r="479">
      <c r="A479" s="3" t="n"/>
      <c r="G479" s="4">
        <f>IFERROR(E479/F479,"")</f>
        <v/>
      </c>
    </row>
    <row r="480">
      <c r="A480" s="3" t="n"/>
      <c r="G480" s="4">
        <f>IFERROR(E480/F480,"")</f>
        <v/>
      </c>
    </row>
    <row r="481">
      <c r="A481" s="3" t="n"/>
      <c r="G481" s="4">
        <f>IFERROR(E481/F481,"")</f>
        <v/>
      </c>
    </row>
    <row r="482">
      <c r="A482" s="3" t="n"/>
      <c r="G482" s="4">
        <f>IFERROR(E482/F482,"")</f>
        <v/>
      </c>
    </row>
    <row r="483">
      <c r="A483" s="3" t="n"/>
      <c r="G483" s="4">
        <f>IFERROR(E483/F483,"")</f>
        <v/>
      </c>
    </row>
    <row r="484">
      <c r="A484" s="3" t="n"/>
      <c r="G484" s="4">
        <f>IFERROR(E484/F484,"")</f>
        <v/>
      </c>
    </row>
    <row r="485">
      <c r="A485" s="3" t="n"/>
      <c r="G485" s="4">
        <f>IFERROR(E485/F485,"")</f>
        <v/>
      </c>
    </row>
    <row r="486">
      <c r="A486" s="3" t="n"/>
      <c r="G486" s="4">
        <f>IFERROR(E486/F486,"")</f>
        <v/>
      </c>
    </row>
    <row r="487">
      <c r="A487" s="3" t="n"/>
      <c r="G487" s="4">
        <f>IFERROR(E487/F487,"")</f>
        <v/>
      </c>
    </row>
    <row r="488">
      <c r="A488" s="3" t="n"/>
      <c r="G488" s="4">
        <f>IFERROR(E488/F488,"")</f>
        <v/>
      </c>
    </row>
    <row r="489">
      <c r="A489" s="3" t="n"/>
      <c r="G489" s="4">
        <f>IFERROR(E489/F489,"")</f>
        <v/>
      </c>
    </row>
    <row r="490">
      <c r="A490" s="3" t="n"/>
      <c r="G490" s="4">
        <f>IFERROR(E490/F490,"")</f>
        <v/>
      </c>
    </row>
    <row r="491">
      <c r="A491" s="3" t="n"/>
      <c r="G491" s="4">
        <f>IFERROR(E491/F491,"")</f>
        <v/>
      </c>
    </row>
    <row r="492">
      <c r="A492" s="3" t="n"/>
      <c r="G492" s="4">
        <f>IFERROR(E492/F492,"")</f>
        <v/>
      </c>
    </row>
    <row r="493">
      <c r="A493" s="3" t="n"/>
      <c r="G493" s="4">
        <f>IFERROR(E493/F493,"")</f>
        <v/>
      </c>
    </row>
    <row r="494">
      <c r="A494" s="3" t="n"/>
      <c r="G494" s="4">
        <f>IFERROR(E494/F494,"")</f>
        <v/>
      </c>
    </row>
    <row r="495">
      <c r="A495" s="3" t="n"/>
      <c r="G495" s="4">
        <f>IFERROR(E495/F495,"")</f>
        <v/>
      </c>
    </row>
    <row r="496">
      <c r="A496" s="3" t="n"/>
      <c r="G496" s="4">
        <f>IFERROR(E496/F496,"")</f>
        <v/>
      </c>
    </row>
    <row r="497">
      <c r="A497" s="3" t="n"/>
      <c r="G497" s="4">
        <f>IFERROR(E497/F497,"")</f>
        <v/>
      </c>
    </row>
    <row r="498">
      <c r="A498" s="3" t="n"/>
      <c r="G498" s="4">
        <f>IFERROR(E498/F498,"")</f>
        <v/>
      </c>
    </row>
    <row r="499">
      <c r="A499" s="3" t="n"/>
      <c r="G499" s="4">
        <f>IFERROR(E499/F499,"")</f>
        <v/>
      </c>
    </row>
    <row r="500">
      <c r="A500" s="3" t="n"/>
      <c r="G500" s="4">
        <f>IFERROR(E500/F500,"")</f>
        <v/>
      </c>
    </row>
    <row r="501">
      <c r="A501" s="3" t="n"/>
      <c r="G501" s="4">
        <f>IFERROR(E501/F501,"")</f>
        <v/>
      </c>
    </row>
    <row r="502">
      <c r="A502" s="3" t="n"/>
      <c r="G502" s="4">
        <f>IFERROR(E502/F502,"")</f>
        <v/>
      </c>
    </row>
    <row r="503">
      <c r="A503" s="3" t="n"/>
      <c r="G503" s="4">
        <f>IFERROR(E503/F503,"")</f>
        <v/>
      </c>
    </row>
    <row r="504">
      <c r="A504" s="3" t="n"/>
      <c r="G504" s="4">
        <f>IFERROR(E504/F504,"")</f>
        <v/>
      </c>
    </row>
    <row r="505">
      <c r="A505" s="3" t="n"/>
      <c r="G505" s="4">
        <f>IFERROR(E505/F505,"")</f>
        <v/>
      </c>
    </row>
    <row r="506">
      <c r="A506" s="3" t="n"/>
      <c r="G506" s="4">
        <f>IFERROR(E506/F506,"")</f>
        <v/>
      </c>
    </row>
    <row r="507">
      <c r="A507" s="3" t="n"/>
      <c r="G507" s="4">
        <f>IFERROR(E507/F507,"")</f>
        <v/>
      </c>
    </row>
    <row r="508">
      <c r="A508" s="3" t="n"/>
      <c r="G508" s="4">
        <f>IFERROR(E508/F508,"")</f>
        <v/>
      </c>
    </row>
    <row r="509">
      <c r="A509" s="3" t="n"/>
      <c r="G509" s="4">
        <f>IFERROR(E509/F509,"")</f>
        <v/>
      </c>
    </row>
    <row r="510">
      <c r="A510" s="3" t="n"/>
      <c r="G510" s="4">
        <f>IFERROR(E510/F510,"")</f>
        <v/>
      </c>
    </row>
    <row r="511">
      <c r="A511" s="3" t="n"/>
      <c r="G511" s="4">
        <f>IFERROR(E511/F511,"")</f>
        <v/>
      </c>
    </row>
    <row r="512">
      <c r="A512" s="3" t="n"/>
      <c r="G512" s="4">
        <f>IFERROR(E512/F512,"")</f>
        <v/>
      </c>
    </row>
    <row r="513">
      <c r="A513" s="3" t="n"/>
      <c r="G513" s="4">
        <f>IFERROR(E513/F513,"")</f>
        <v/>
      </c>
    </row>
    <row r="514">
      <c r="A514" s="3" t="n"/>
      <c r="G514" s="4">
        <f>IFERROR(E514/F514,"")</f>
        <v/>
      </c>
    </row>
    <row r="515">
      <c r="A515" s="3" t="n"/>
      <c r="G515" s="4">
        <f>IFERROR(E515/F515,"")</f>
        <v/>
      </c>
    </row>
    <row r="516">
      <c r="A516" s="3" t="n"/>
      <c r="G516" s="4">
        <f>IFERROR(E516/F516,"")</f>
        <v/>
      </c>
    </row>
    <row r="517">
      <c r="A517" s="3" t="n"/>
      <c r="G517" s="4">
        <f>IFERROR(E517/F517,"")</f>
        <v/>
      </c>
    </row>
    <row r="518">
      <c r="A518" s="3" t="n"/>
      <c r="G518" s="4">
        <f>IFERROR(E518/F518,"")</f>
        <v/>
      </c>
    </row>
    <row r="519">
      <c r="A519" s="3" t="n"/>
      <c r="G519" s="4">
        <f>IFERROR(E519/F519,"")</f>
        <v/>
      </c>
    </row>
    <row r="520">
      <c r="A520" s="3" t="n"/>
      <c r="G520" s="4">
        <f>IFERROR(E520/F520,"")</f>
        <v/>
      </c>
    </row>
    <row r="521">
      <c r="A521" s="3" t="n"/>
      <c r="G521" s="4">
        <f>IFERROR(E521/F521,"")</f>
        <v/>
      </c>
    </row>
    <row r="522">
      <c r="A522" s="3" t="n"/>
      <c r="G522" s="4">
        <f>IFERROR(E522/F522,"")</f>
        <v/>
      </c>
    </row>
    <row r="523">
      <c r="A523" s="3" t="n"/>
      <c r="G523" s="4">
        <f>IFERROR(E523/F523,"")</f>
        <v/>
      </c>
    </row>
    <row r="524">
      <c r="A524" s="3" t="n"/>
      <c r="G524" s="4">
        <f>IFERROR(E524/F524,"")</f>
        <v/>
      </c>
    </row>
    <row r="525">
      <c r="A525" s="3" t="n"/>
      <c r="G525" s="4">
        <f>IFERROR(E525/F525,"")</f>
        <v/>
      </c>
    </row>
    <row r="526">
      <c r="A526" s="3" t="n"/>
      <c r="G526" s="4">
        <f>IFERROR(E526/F526,"")</f>
        <v/>
      </c>
    </row>
    <row r="527">
      <c r="A527" s="3" t="n"/>
      <c r="G527" s="4">
        <f>IFERROR(E527/F527,"")</f>
        <v/>
      </c>
    </row>
    <row r="528">
      <c r="A528" s="3" t="n"/>
      <c r="G528" s="4">
        <f>IFERROR(E528/F528,"")</f>
        <v/>
      </c>
    </row>
    <row r="529">
      <c r="A529" s="3" t="n"/>
      <c r="G529" s="4">
        <f>IFERROR(E529/F529,"")</f>
        <v/>
      </c>
    </row>
    <row r="530">
      <c r="A530" s="3" t="n"/>
      <c r="G530" s="4">
        <f>IFERROR(E530/F530,"")</f>
        <v/>
      </c>
    </row>
    <row r="531">
      <c r="A531" s="3" t="n"/>
      <c r="G531" s="4">
        <f>IFERROR(E531/F531,"")</f>
        <v/>
      </c>
    </row>
    <row r="532">
      <c r="A532" s="3" t="n"/>
      <c r="G532" s="4">
        <f>IFERROR(E532/F532,"")</f>
        <v/>
      </c>
    </row>
    <row r="533">
      <c r="A533" s="3" t="n"/>
      <c r="G533" s="4">
        <f>IFERROR(E533/F533,"")</f>
        <v/>
      </c>
    </row>
    <row r="534">
      <c r="A534" s="3" t="n"/>
      <c r="G534" s="4">
        <f>IFERROR(E534/F534,"")</f>
        <v/>
      </c>
    </row>
    <row r="535">
      <c r="A535" s="3" t="n"/>
      <c r="G535" s="4">
        <f>IFERROR(E535/F535,"")</f>
        <v/>
      </c>
    </row>
    <row r="536">
      <c r="A536" s="3" t="n"/>
      <c r="G536" s="4">
        <f>IFERROR(E536/F536,"")</f>
        <v/>
      </c>
    </row>
    <row r="537">
      <c r="A537" s="3" t="n"/>
      <c r="G537" s="4">
        <f>IFERROR(E537/F537,"")</f>
        <v/>
      </c>
    </row>
    <row r="538">
      <c r="A538" s="3" t="n"/>
      <c r="G538" s="4">
        <f>IFERROR(E538/F538,"")</f>
        <v/>
      </c>
    </row>
    <row r="539">
      <c r="A539" s="3" t="n"/>
      <c r="G539" s="4">
        <f>IFERROR(E539/F539,"")</f>
        <v/>
      </c>
    </row>
    <row r="540">
      <c r="A540" s="3" t="n"/>
      <c r="G540" s="4">
        <f>IFERROR(E540/F540,"")</f>
        <v/>
      </c>
    </row>
    <row r="541">
      <c r="A541" s="3" t="n"/>
      <c r="G541" s="4">
        <f>IFERROR(E541/F541,"")</f>
        <v/>
      </c>
    </row>
    <row r="542">
      <c r="A542" s="3" t="n"/>
      <c r="G542" s="4">
        <f>IFERROR(E542/F542,"")</f>
        <v/>
      </c>
    </row>
    <row r="543">
      <c r="A543" s="3" t="n"/>
      <c r="G543" s="4">
        <f>IFERROR(E543/F543,"")</f>
        <v/>
      </c>
    </row>
    <row r="544">
      <c r="A544" s="3" t="n"/>
      <c r="G544" s="4">
        <f>IFERROR(E544/F544,"")</f>
        <v/>
      </c>
    </row>
    <row r="545">
      <c r="A545" s="3" t="n"/>
      <c r="G545" s="4">
        <f>IFERROR(E545/F545,"")</f>
        <v/>
      </c>
    </row>
    <row r="546">
      <c r="A546" s="3" t="n"/>
      <c r="G546" s="4">
        <f>IFERROR(E546/F546,"")</f>
        <v/>
      </c>
    </row>
    <row r="547">
      <c r="A547" s="3" t="n"/>
      <c r="G547" s="4">
        <f>IFERROR(E547/F547,"")</f>
        <v/>
      </c>
    </row>
    <row r="548">
      <c r="A548" s="3" t="n"/>
      <c r="G548" s="4">
        <f>IFERROR(E548/F548,"")</f>
        <v/>
      </c>
    </row>
    <row r="549">
      <c r="A549" s="3" t="n"/>
      <c r="G549" s="4">
        <f>IFERROR(E549/F549,"")</f>
        <v/>
      </c>
    </row>
    <row r="550">
      <c r="A550" s="3" t="n"/>
      <c r="G550" s="4">
        <f>IFERROR(E550/F550,"")</f>
        <v/>
      </c>
    </row>
    <row r="551">
      <c r="A551" s="3" t="n"/>
      <c r="G551" s="4">
        <f>IFERROR(E551/F551,"")</f>
        <v/>
      </c>
    </row>
    <row r="552">
      <c r="A552" s="3" t="n"/>
      <c r="G552" s="4">
        <f>IFERROR(E552/F552,"")</f>
        <v/>
      </c>
    </row>
    <row r="553">
      <c r="A553" s="3" t="n"/>
      <c r="G553" s="4">
        <f>IFERROR(E553/F553,"")</f>
        <v/>
      </c>
    </row>
    <row r="554">
      <c r="A554" s="3" t="n"/>
      <c r="G554" s="4">
        <f>IFERROR(E554/F554,"")</f>
        <v/>
      </c>
    </row>
    <row r="555">
      <c r="A555" s="3" t="n"/>
      <c r="G555" s="4">
        <f>IFERROR(E555/F555,"")</f>
        <v/>
      </c>
    </row>
    <row r="556">
      <c r="A556" s="3" t="n"/>
      <c r="G556" s="4">
        <f>IFERROR(E556/F556,"")</f>
        <v/>
      </c>
    </row>
    <row r="557">
      <c r="A557" s="3" t="n"/>
      <c r="G557" s="4">
        <f>IFERROR(E557/F557,"")</f>
        <v/>
      </c>
    </row>
    <row r="558">
      <c r="A558" s="3" t="n"/>
      <c r="G558" s="4">
        <f>IFERROR(E558/F558,"")</f>
        <v/>
      </c>
    </row>
    <row r="559">
      <c r="A559" s="3" t="n"/>
      <c r="G559" s="4">
        <f>IFERROR(E559/F559,"")</f>
        <v/>
      </c>
    </row>
    <row r="560">
      <c r="A560" s="3" t="n"/>
      <c r="G560" s="4">
        <f>IFERROR(E560/F560,"")</f>
        <v/>
      </c>
    </row>
    <row r="561">
      <c r="A561" s="3" t="n"/>
      <c r="G561" s="4">
        <f>IFERROR(E561/F561,"")</f>
        <v/>
      </c>
    </row>
    <row r="562">
      <c r="A562" s="3" t="n"/>
      <c r="G562" s="4">
        <f>IFERROR(E562/F562,"")</f>
        <v/>
      </c>
    </row>
    <row r="563">
      <c r="A563" s="3" t="n"/>
      <c r="G563" s="4">
        <f>IFERROR(E563/F563,"")</f>
        <v/>
      </c>
    </row>
    <row r="564">
      <c r="A564" s="3" t="n"/>
      <c r="G564" s="4">
        <f>IFERROR(E564/F564,"")</f>
        <v/>
      </c>
    </row>
    <row r="565">
      <c r="A565" s="3" t="n"/>
      <c r="G565" s="4">
        <f>IFERROR(E565/F565,"")</f>
        <v/>
      </c>
    </row>
    <row r="566">
      <c r="A566" s="3" t="n"/>
      <c r="G566" s="4">
        <f>IFERROR(E566/F566,"")</f>
        <v/>
      </c>
    </row>
    <row r="567">
      <c r="A567" s="3" t="n"/>
      <c r="G567" s="4">
        <f>IFERROR(E567/F567,"")</f>
        <v/>
      </c>
    </row>
    <row r="568">
      <c r="A568" s="3" t="n"/>
      <c r="G568" s="4">
        <f>IFERROR(E568/F568,"")</f>
        <v/>
      </c>
    </row>
    <row r="569">
      <c r="A569" s="3" t="n"/>
      <c r="G569" s="4">
        <f>IFERROR(E569/F569,"")</f>
        <v/>
      </c>
    </row>
    <row r="570">
      <c r="A570" s="3" t="n"/>
      <c r="G570" s="4">
        <f>IFERROR(E570/F570,"")</f>
        <v/>
      </c>
    </row>
    <row r="571">
      <c r="A571" s="3" t="n"/>
      <c r="G571" s="4">
        <f>IFERROR(E571/F571,"")</f>
        <v/>
      </c>
    </row>
    <row r="572">
      <c r="A572" s="3" t="n"/>
      <c r="G572" s="4">
        <f>IFERROR(E572/F572,"")</f>
        <v/>
      </c>
    </row>
    <row r="573">
      <c r="A573" s="3" t="n"/>
      <c r="G573" s="4">
        <f>IFERROR(E573/F573,"")</f>
        <v/>
      </c>
    </row>
    <row r="574">
      <c r="A574" s="3" t="n"/>
      <c r="G574" s="4">
        <f>IFERROR(E574/F574,"")</f>
        <v/>
      </c>
    </row>
    <row r="575">
      <c r="A575" s="3" t="n"/>
      <c r="G575" s="4">
        <f>IFERROR(E575/F575,"")</f>
        <v/>
      </c>
    </row>
    <row r="576">
      <c r="A576" s="3" t="n"/>
      <c r="G576" s="4">
        <f>IFERROR(E576/F576,"")</f>
        <v/>
      </c>
    </row>
    <row r="577">
      <c r="A577" s="3" t="n"/>
      <c r="G577" s="4">
        <f>IFERROR(E577/F577,"")</f>
        <v/>
      </c>
    </row>
    <row r="578">
      <c r="A578" s="3" t="n"/>
      <c r="G578" s="4">
        <f>IFERROR(E578/F578,"")</f>
        <v/>
      </c>
    </row>
    <row r="579">
      <c r="A579" s="3" t="n"/>
      <c r="G579" s="4">
        <f>IFERROR(E579/F579,"")</f>
        <v/>
      </c>
    </row>
    <row r="580">
      <c r="A580" s="3" t="n"/>
      <c r="G580" s="4">
        <f>IFERROR(E580/F580,"")</f>
        <v/>
      </c>
    </row>
    <row r="581">
      <c r="A581" s="3" t="n"/>
      <c r="G581" s="4">
        <f>IFERROR(E581/F581,"")</f>
        <v/>
      </c>
    </row>
    <row r="582">
      <c r="A582" s="3" t="n"/>
      <c r="G582" s="4">
        <f>IFERROR(E582/F582,"")</f>
        <v/>
      </c>
    </row>
    <row r="583">
      <c r="A583" s="3" t="n"/>
      <c r="G583" s="4">
        <f>IFERROR(E583/F583,"")</f>
        <v/>
      </c>
    </row>
    <row r="584">
      <c r="A584" s="3" t="n"/>
      <c r="G584" s="4">
        <f>IFERROR(E584/F584,"")</f>
        <v/>
      </c>
    </row>
    <row r="585">
      <c r="A585" s="3" t="n"/>
      <c r="G585" s="4">
        <f>IFERROR(E585/F585,"")</f>
        <v/>
      </c>
    </row>
    <row r="586">
      <c r="A586" s="3" t="n"/>
      <c r="G586" s="4">
        <f>IFERROR(E586/F586,"")</f>
        <v/>
      </c>
    </row>
    <row r="587">
      <c r="A587" s="3" t="n"/>
      <c r="G587" s="4">
        <f>IFERROR(E587/F587,"")</f>
        <v/>
      </c>
    </row>
    <row r="588">
      <c r="A588" s="3" t="n"/>
      <c r="G588" s="4">
        <f>IFERROR(E588/F588,"")</f>
        <v/>
      </c>
    </row>
    <row r="589">
      <c r="A589" s="3" t="n"/>
      <c r="G589" s="4">
        <f>IFERROR(E589/F589,"")</f>
        <v/>
      </c>
    </row>
    <row r="590">
      <c r="A590" s="3" t="n"/>
      <c r="G590" s="4">
        <f>IFERROR(E590/F590,"")</f>
        <v/>
      </c>
    </row>
    <row r="591">
      <c r="A591" s="3" t="n"/>
      <c r="G591" s="4">
        <f>IFERROR(E591/F591,"")</f>
        <v/>
      </c>
    </row>
    <row r="592">
      <c r="A592" s="3" t="n"/>
      <c r="G592" s="4">
        <f>IFERROR(E592/F592,"")</f>
        <v/>
      </c>
    </row>
    <row r="593">
      <c r="A593" s="3" t="n"/>
      <c r="G593" s="4">
        <f>IFERROR(E593/F593,"")</f>
        <v/>
      </c>
    </row>
    <row r="594">
      <c r="A594" s="3" t="n"/>
      <c r="G594" s="4">
        <f>IFERROR(E594/F594,"")</f>
        <v/>
      </c>
    </row>
    <row r="595">
      <c r="A595" s="3" t="n"/>
      <c r="G595" s="4">
        <f>IFERROR(E595/F595,"")</f>
        <v/>
      </c>
    </row>
    <row r="596">
      <c r="A596" s="3" t="n"/>
      <c r="G596" s="4">
        <f>IFERROR(E596/F596,"")</f>
        <v/>
      </c>
    </row>
    <row r="597">
      <c r="A597" s="3" t="n"/>
      <c r="G597" s="4">
        <f>IFERROR(E597/F597,"")</f>
        <v/>
      </c>
    </row>
    <row r="598">
      <c r="A598" s="3" t="n"/>
      <c r="G598" s="4">
        <f>IFERROR(E598/F598,"")</f>
        <v/>
      </c>
    </row>
    <row r="599">
      <c r="A599" s="3" t="n"/>
      <c r="G599" s="4">
        <f>IFERROR(E599/F599,"")</f>
        <v/>
      </c>
    </row>
    <row r="600">
      <c r="A600" s="3" t="n"/>
      <c r="G600" s="4">
        <f>IFERROR(E600/F600,"")</f>
        <v/>
      </c>
    </row>
    <row r="601">
      <c r="A601" s="3" t="n"/>
      <c r="G601" s="4">
        <f>IFERROR(E601/F601,"")</f>
        <v/>
      </c>
    </row>
    <row r="602">
      <c r="A602" s="3" t="n"/>
      <c r="G602" s="4">
        <f>IFERROR(E602/F602,"")</f>
        <v/>
      </c>
    </row>
    <row r="603">
      <c r="A603" s="3" t="n"/>
      <c r="G603" s="4">
        <f>IFERROR(E603/F603,"")</f>
        <v/>
      </c>
    </row>
    <row r="604">
      <c r="A604" s="3" t="n"/>
      <c r="G604" s="4">
        <f>IFERROR(E604/F604,"")</f>
        <v/>
      </c>
    </row>
    <row r="605">
      <c r="A605" s="3" t="n"/>
      <c r="G605" s="4">
        <f>IFERROR(E605/F605,"")</f>
        <v/>
      </c>
    </row>
    <row r="606">
      <c r="A606" s="3" t="n"/>
      <c r="G606" s="4">
        <f>IFERROR(E606/F606,"")</f>
        <v/>
      </c>
    </row>
    <row r="607">
      <c r="A607" s="3" t="n"/>
      <c r="G607" s="4">
        <f>IFERROR(E607/F607,"")</f>
        <v/>
      </c>
    </row>
    <row r="608">
      <c r="A608" s="3" t="n"/>
      <c r="G608" s="4">
        <f>IFERROR(E608/F608,"")</f>
        <v/>
      </c>
    </row>
    <row r="609">
      <c r="A609" s="3" t="n"/>
      <c r="G609" s="4">
        <f>IFERROR(E609/F609,"")</f>
        <v/>
      </c>
    </row>
    <row r="610">
      <c r="A610" s="3" t="n"/>
      <c r="G610" s="4">
        <f>IFERROR(E610/F610,"")</f>
        <v/>
      </c>
    </row>
    <row r="611">
      <c r="A611" s="3" t="n"/>
      <c r="G611" s="4">
        <f>IFERROR(E611/F611,"")</f>
        <v/>
      </c>
    </row>
    <row r="612">
      <c r="A612" s="3" t="n"/>
      <c r="G612" s="4">
        <f>IFERROR(E612/F612,"")</f>
        <v/>
      </c>
    </row>
    <row r="613">
      <c r="A613" s="3" t="n"/>
      <c r="G613" s="4">
        <f>IFERROR(E613/F613,"")</f>
        <v/>
      </c>
    </row>
    <row r="614">
      <c r="A614" s="3" t="n"/>
      <c r="G614" s="4">
        <f>IFERROR(E614/F614,"")</f>
        <v/>
      </c>
    </row>
    <row r="615">
      <c r="A615" s="3" t="n"/>
      <c r="G615" s="4">
        <f>IFERROR(E615/F615,"")</f>
        <v/>
      </c>
    </row>
    <row r="616">
      <c r="A616" s="3" t="n"/>
      <c r="G616" s="4">
        <f>IFERROR(E616/F616,"")</f>
        <v/>
      </c>
    </row>
    <row r="617">
      <c r="A617" s="3" t="n"/>
      <c r="G617" s="4">
        <f>IFERROR(E617/F617,"")</f>
        <v/>
      </c>
    </row>
    <row r="618">
      <c r="A618" s="3" t="n"/>
      <c r="G618" s="4">
        <f>IFERROR(E618/F618,"")</f>
        <v/>
      </c>
    </row>
    <row r="619">
      <c r="A619" s="3" t="n"/>
      <c r="G619" s="4">
        <f>IFERROR(E619/F619,"")</f>
        <v/>
      </c>
    </row>
    <row r="620">
      <c r="A620" s="3" t="n"/>
      <c r="G620" s="4">
        <f>IFERROR(E620/F620,"")</f>
        <v/>
      </c>
    </row>
    <row r="621">
      <c r="A621" s="3" t="n"/>
      <c r="G621" s="4">
        <f>IFERROR(E621/F621,"")</f>
        <v/>
      </c>
    </row>
    <row r="622">
      <c r="A622" s="3" t="n"/>
      <c r="G622" s="4">
        <f>IFERROR(E622/F622,"")</f>
        <v/>
      </c>
    </row>
    <row r="623">
      <c r="A623" s="3" t="n"/>
      <c r="G623" s="4">
        <f>IFERROR(E623/F623,"")</f>
        <v/>
      </c>
    </row>
    <row r="624">
      <c r="A624" s="3" t="n"/>
      <c r="G624" s="4">
        <f>IFERROR(E624/F624,"")</f>
        <v/>
      </c>
    </row>
    <row r="625">
      <c r="A625" s="3" t="n"/>
      <c r="G625" s="4">
        <f>IFERROR(E625/F625,"")</f>
        <v/>
      </c>
    </row>
    <row r="626">
      <c r="A626" s="3" t="n"/>
      <c r="G626" s="4">
        <f>IFERROR(E626/F626,"")</f>
        <v/>
      </c>
    </row>
    <row r="627">
      <c r="A627" s="3" t="n"/>
      <c r="G627" s="4">
        <f>IFERROR(E627/F627,"")</f>
        <v/>
      </c>
    </row>
    <row r="628">
      <c r="A628" s="3" t="n"/>
      <c r="G628" s="4">
        <f>IFERROR(E628/F628,"")</f>
        <v/>
      </c>
    </row>
    <row r="629">
      <c r="A629" s="3" t="n"/>
      <c r="G629" s="4">
        <f>IFERROR(E629/F629,"")</f>
        <v/>
      </c>
    </row>
    <row r="630">
      <c r="A630" s="3" t="n"/>
      <c r="G630" s="4">
        <f>IFERROR(E630/F630,"")</f>
        <v/>
      </c>
    </row>
    <row r="631">
      <c r="A631" s="3" t="n"/>
      <c r="G631" s="4">
        <f>IFERROR(E631/F631,"")</f>
        <v/>
      </c>
    </row>
    <row r="632">
      <c r="A632" s="3" t="n"/>
      <c r="G632" s="4">
        <f>IFERROR(E632/F632,"")</f>
        <v/>
      </c>
    </row>
    <row r="633">
      <c r="A633" s="3" t="n"/>
      <c r="G633" s="4">
        <f>IFERROR(E633/F633,"")</f>
        <v/>
      </c>
    </row>
    <row r="634">
      <c r="A634" s="3" t="n"/>
      <c r="G634" s="4">
        <f>IFERROR(E634/F634,"")</f>
        <v/>
      </c>
    </row>
    <row r="635">
      <c r="A635" s="3" t="n"/>
      <c r="G635" s="4">
        <f>IFERROR(E635/F635,"")</f>
        <v/>
      </c>
    </row>
    <row r="636">
      <c r="A636" s="3" t="n"/>
      <c r="G636" s="4">
        <f>IFERROR(E636/F636,"")</f>
        <v/>
      </c>
    </row>
    <row r="637">
      <c r="A637" s="3" t="n"/>
      <c r="G637" s="4">
        <f>IFERROR(E637/F637,"")</f>
        <v/>
      </c>
    </row>
    <row r="638">
      <c r="A638" s="3" t="n"/>
      <c r="G638" s="4">
        <f>IFERROR(E638/F638,"")</f>
        <v/>
      </c>
    </row>
    <row r="639">
      <c r="A639" s="3" t="n"/>
      <c r="G639" s="4">
        <f>IFERROR(E639/F639,"")</f>
        <v/>
      </c>
    </row>
    <row r="640">
      <c r="A640" s="3" t="n"/>
      <c r="G640" s="4">
        <f>IFERROR(E640/F640,"")</f>
        <v/>
      </c>
    </row>
    <row r="641">
      <c r="A641" s="3" t="n"/>
      <c r="G641" s="4">
        <f>IFERROR(E641/F641,"")</f>
        <v/>
      </c>
    </row>
    <row r="642">
      <c r="A642" s="3" t="n"/>
      <c r="G642" s="4">
        <f>IFERROR(E642/F642,"")</f>
        <v/>
      </c>
    </row>
    <row r="643">
      <c r="A643" s="3" t="n"/>
      <c r="G643" s="4">
        <f>IFERROR(E643/F643,"")</f>
        <v/>
      </c>
    </row>
    <row r="644">
      <c r="A644" s="3" t="n"/>
      <c r="G644" s="4">
        <f>IFERROR(E644/F644,"")</f>
        <v/>
      </c>
    </row>
    <row r="645">
      <c r="A645" s="3" t="n"/>
      <c r="G645" s="4">
        <f>IFERROR(E645/F645,"")</f>
        <v/>
      </c>
    </row>
    <row r="646">
      <c r="A646" s="3" t="n"/>
      <c r="G646" s="4">
        <f>IFERROR(E646/F646,"")</f>
        <v/>
      </c>
    </row>
    <row r="647">
      <c r="A647" s="3" t="n"/>
      <c r="G647" s="4">
        <f>IFERROR(E647/F647,"")</f>
        <v/>
      </c>
    </row>
    <row r="648">
      <c r="A648" s="3" t="n"/>
      <c r="G648" s="4">
        <f>IFERROR(E648/F648,"")</f>
        <v/>
      </c>
    </row>
    <row r="649">
      <c r="A649" s="3" t="n"/>
      <c r="G649" s="4">
        <f>IFERROR(E649/F649,"")</f>
        <v/>
      </c>
    </row>
    <row r="650">
      <c r="A650" s="3" t="n"/>
      <c r="G650" s="4">
        <f>IFERROR(E650/F650,"")</f>
        <v/>
      </c>
    </row>
    <row r="651">
      <c r="A651" s="3" t="n"/>
      <c r="G651" s="4">
        <f>IFERROR(E651/F651,"")</f>
        <v/>
      </c>
    </row>
    <row r="652">
      <c r="A652" s="3" t="n"/>
      <c r="G652" s="4">
        <f>IFERROR(E652/F652,"")</f>
        <v/>
      </c>
    </row>
    <row r="653">
      <c r="A653" s="3" t="n"/>
      <c r="G653" s="4">
        <f>IFERROR(E653/F653,"")</f>
        <v/>
      </c>
    </row>
    <row r="654">
      <c r="A654" s="3" t="n"/>
      <c r="G654" s="4">
        <f>IFERROR(E654/F654,"")</f>
        <v/>
      </c>
    </row>
    <row r="655">
      <c r="A655" s="3" t="n"/>
      <c r="G655" s="4">
        <f>IFERROR(E655/F655,"")</f>
        <v/>
      </c>
    </row>
    <row r="656">
      <c r="A656" s="3" t="n"/>
      <c r="G656" s="4">
        <f>IFERROR(E656/F656,"")</f>
        <v/>
      </c>
    </row>
    <row r="657">
      <c r="A657" s="3" t="n"/>
      <c r="G657" s="4">
        <f>IFERROR(E657/F657,"")</f>
        <v/>
      </c>
    </row>
    <row r="658">
      <c r="A658" s="3" t="n"/>
      <c r="G658" s="4">
        <f>IFERROR(E658/F658,"")</f>
        <v/>
      </c>
    </row>
    <row r="659">
      <c r="A659" s="3" t="n"/>
      <c r="G659" s="4">
        <f>IFERROR(E659/F659,"")</f>
        <v/>
      </c>
    </row>
    <row r="660">
      <c r="A660" s="3" t="n"/>
      <c r="G660" s="4">
        <f>IFERROR(E660/F660,"")</f>
        <v/>
      </c>
    </row>
    <row r="661">
      <c r="A661" s="3" t="n"/>
      <c r="G661" s="4">
        <f>IFERROR(E661/F661,"")</f>
        <v/>
      </c>
    </row>
    <row r="662">
      <c r="A662" s="3" t="n"/>
      <c r="G662" s="4">
        <f>IFERROR(E662/F662,"")</f>
        <v/>
      </c>
    </row>
    <row r="663">
      <c r="A663" s="3" t="n"/>
      <c r="G663" s="4">
        <f>IFERROR(E663/F663,"")</f>
        <v/>
      </c>
    </row>
    <row r="664">
      <c r="A664" s="3" t="n"/>
      <c r="G664" s="4">
        <f>IFERROR(E664/F664,"")</f>
        <v/>
      </c>
    </row>
    <row r="665">
      <c r="A665" s="3" t="n"/>
      <c r="G665" s="4">
        <f>IFERROR(E665/F665,"")</f>
        <v/>
      </c>
    </row>
    <row r="666">
      <c r="A666" s="3" t="n"/>
      <c r="G666" s="4">
        <f>IFERROR(E666/F666,"")</f>
        <v/>
      </c>
    </row>
    <row r="667">
      <c r="A667" s="3" t="n"/>
      <c r="G667" s="4">
        <f>IFERROR(E667/F667,"")</f>
        <v/>
      </c>
    </row>
    <row r="668">
      <c r="A668" s="3" t="n"/>
      <c r="G668" s="4">
        <f>IFERROR(E668/F668,"")</f>
        <v/>
      </c>
    </row>
    <row r="669">
      <c r="A669" s="3" t="n"/>
      <c r="G669" s="4">
        <f>IFERROR(E669/F669,"")</f>
        <v/>
      </c>
    </row>
    <row r="670">
      <c r="A670" s="3" t="n"/>
      <c r="G670" s="4">
        <f>IFERROR(E670/F670,"")</f>
        <v/>
      </c>
    </row>
    <row r="671">
      <c r="A671" s="3" t="n"/>
      <c r="G671" s="4">
        <f>IFERROR(E671/F671,"")</f>
        <v/>
      </c>
    </row>
    <row r="672">
      <c r="A672" s="3" t="n"/>
      <c r="G672" s="4">
        <f>IFERROR(E672/F672,"")</f>
        <v/>
      </c>
    </row>
    <row r="673">
      <c r="A673" s="3" t="n"/>
      <c r="G673" s="4">
        <f>IFERROR(E673/F673,"")</f>
        <v/>
      </c>
    </row>
    <row r="674">
      <c r="A674" s="3" t="n"/>
      <c r="G674" s="4">
        <f>IFERROR(E674/F674,"")</f>
        <v/>
      </c>
    </row>
    <row r="675">
      <c r="A675" s="3" t="n"/>
      <c r="G675" s="4">
        <f>IFERROR(E675/F675,"")</f>
        <v/>
      </c>
    </row>
    <row r="676">
      <c r="A676" s="3" t="n"/>
      <c r="G676" s="4">
        <f>IFERROR(E676/F676,"")</f>
        <v/>
      </c>
    </row>
    <row r="677">
      <c r="A677" s="3" t="n"/>
      <c r="G677" s="4">
        <f>IFERROR(E677/F677,"")</f>
        <v/>
      </c>
    </row>
    <row r="678">
      <c r="A678" s="3" t="n"/>
      <c r="G678" s="4">
        <f>IFERROR(E678/F678,"")</f>
        <v/>
      </c>
    </row>
    <row r="679">
      <c r="A679" s="3" t="n"/>
      <c r="G679" s="4">
        <f>IFERROR(E679/F679,"")</f>
        <v/>
      </c>
    </row>
    <row r="680">
      <c r="A680" s="3" t="n"/>
      <c r="G680" s="4">
        <f>IFERROR(E680/F680,"")</f>
        <v/>
      </c>
    </row>
    <row r="681">
      <c r="A681" s="3" t="n"/>
      <c r="G681" s="4">
        <f>IFERROR(E681/F681,"")</f>
        <v/>
      </c>
    </row>
    <row r="682">
      <c r="A682" s="3" t="n"/>
      <c r="G682" s="4">
        <f>IFERROR(E682/F682,"")</f>
        <v/>
      </c>
    </row>
    <row r="683">
      <c r="A683" s="3" t="n"/>
      <c r="G683" s="4">
        <f>IFERROR(E683/F683,"")</f>
        <v/>
      </c>
    </row>
    <row r="684">
      <c r="A684" s="3" t="n"/>
      <c r="G684" s="4">
        <f>IFERROR(E684/F684,"")</f>
        <v/>
      </c>
    </row>
    <row r="685">
      <c r="A685" s="3" t="n"/>
      <c r="G685" s="4">
        <f>IFERROR(E685/F685,"")</f>
        <v/>
      </c>
    </row>
    <row r="686">
      <c r="A686" s="3" t="n"/>
      <c r="G686" s="4">
        <f>IFERROR(E686/F686,"")</f>
        <v/>
      </c>
    </row>
    <row r="687">
      <c r="A687" s="3" t="n"/>
      <c r="G687" s="4">
        <f>IFERROR(E687/F687,"")</f>
        <v/>
      </c>
    </row>
    <row r="688">
      <c r="A688" s="3" t="n"/>
      <c r="G688" s="4">
        <f>IFERROR(E688/F688,"")</f>
        <v/>
      </c>
    </row>
    <row r="689">
      <c r="A689" s="3" t="n"/>
      <c r="G689" s="4">
        <f>IFERROR(E689/F689,"")</f>
        <v/>
      </c>
    </row>
    <row r="690">
      <c r="A690" s="3" t="n"/>
      <c r="G690" s="4">
        <f>IFERROR(E690/F690,"")</f>
        <v/>
      </c>
    </row>
    <row r="691">
      <c r="A691" s="3" t="n"/>
      <c r="G691" s="4">
        <f>IFERROR(E691/F691,"")</f>
        <v/>
      </c>
    </row>
    <row r="692">
      <c r="A692" s="3" t="n"/>
      <c r="G692" s="4">
        <f>IFERROR(E692/F692,"")</f>
        <v/>
      </c>
    </row>
    <row r="693">
      <c r="A693" s="3" t="n"/>
      <c r="G693" s="4">
        <f>IFERROR(E693/F693,"")</f>
        <v/>
      </c>
    </row>
    <row r="694">
      <c r="A694" s="3" t="n"/>
      <c r="G694" s="4">
        <f>IFERROR(E694/F694,"")</f>
        <v/>
      </c>
    </row>
    <row r="695">
      <c r="A695" s="3" t="n"/>
      <c r="G695" s="4">
        <f>IFERROR(E695/F695,"")</f>
        <v/>
      </c>
    </row>
    <row r="696">
      <c r="A696" s="3" t="n"/>
      <c r="G696" s="4">
        <f>IFERROR(E696/F696,"")</f>
        <v/>
      </c>
    </row>
    <row r="697">
      <c r="A697" s="3" t="n"/>
      <c r="G697" s="4">
        <f>IFERROR(E697/F697,"")</f>
        <v/>
      </c>
    </row>
    <row r="698">
      <c r="A698" s="3" t="n"/>
      <c r="G698" s="4">
        <f>IFERROR(E698/F698,"")</f>
        <v/>
      </c>
    </row>
    <row r="699">
      <c r="A699" s="3" t="n"/>
      <c r="G699" s="4">
        <f>IFERROR(E699/F699,"")</f>
        <v/>
      </c>
    </row>
    <row r="700">
      <c r="A700" s="3" t="n"/>
      <c r="G700" s="4">
        <f>IFERROR(E700/F700,"")</f>
        <v/>
      </c>
    </row>
    <row r="701">
      <c r="A701" s="3" t="n"/>
      <c r="G701" s="4">
        <f>IFERROR(E701/F701,"")</f>
        <v/>
      </c>
    </row>
    <row r="702">
      <c r="A702" s="3" t="n"/>
      <c r="G702" s="4">
        <f>IFERROR(E702/F702,"")</f>
        <v/>
      </c>
    </row>
    <row r="703">
      <c r="A703" s="3" t="n"/>
      <c r="G703" s="4">
        <f>IFERROR(E703/F703,"")</f>
        <v/>
      </c>
    </row>
    <row r="704">
      <c r="A704" s="3" t="n"/>
      <c r="G704" s="4">
        <f>IFERROR(E704/F704,"")</f>
        <v/>
      </c>
    </row>
    <row r="705">
      <c r="A705" s="3" t="n"/>
      <c r="G705" s="4">
        <f>IFERROR(E705/F705,"")</f>
        <v/>
      </c>
    </row>
    <row r="706">
      <c r="A706" s="3" t="n"/>
      <c r="G706" s="4">
        <f>IFERROR(E706/F706,"")</f>
        <v/>
      </c>
    </row>
    <row r="707">
      <c r="A707" s="3" t="n"/>
      <c r="G707" s="4">
        <f>IFERROR(E707/F707,"")</f>
        <v/>
      </c>
    </row>
    <row r="708">
      <c r="A708" s="3" t="n"/>
      <c r="G708" s="4">
        <f>IFERROR(E708/F708,"")</f>
        <v/>
      </c>
    </row>
    <row r="709">
      <c r="A709" s="3" t="n"/>
      <c r="G709" s="4">
        <f>IFERROR(E709/F709,"")</f>
        <v/>
      </c>
    </row>
    <row r="710">
      <c r="A710" s="3" t="n"/>
      <c r="G710" s="4">
        <f>IFERROR(E710/F710,"")</f>
        <v/>
      </c>
    </row>
    <row r="711">
      <c r="A711" s="3" t="n"/>
      <c r="G711" s="4">
        <f>IFERROR(E711/F711,"")</f>
        <v/>
      </c>
    </row>
    <row r="712">
      <c r="A712" s="3" t="n"/>
      <c r="G712" s="4">
        <f>IFERROR(E712/F712,"")</f>
        <v/>
      </c>
    </row>
    <row r="713">
      <c r="A713" s="3" t="n"/>
      <c r="G713" s="4">
        <f>IFERROR(E713/F713,"")</f>
        <v/>
      </c>
    </row>
    <row r="714">
      <c r="A714" s="3" t="n"/>
      <c r="G714" s="4">
        <f>IFERROR(E714/F714,"")</f>
        <v/>
      </c>
    </row>
    <row r="715">
      <c r="A715" s="3" t="n"/>
      <c r="G715" s="4">
        <f>IFERROR(E715/F715,"")</f>
        <v/>
      </c>
    </row>
    <row r="716">
      <c r="A716" s="3" t="n"/>
      <c r="G716" s="4">
        <f>IFERROR(E716/F716,"")</f>
        <v/>
      </c>
    </row>
    <row r="717">
      <c r="A717" s="3" t="n"/>
      <c r="G717" s="4">
        <f>IFERROR(E717/F717,"")</f>
        <v/>
      </c>
    </row>
    <row r="718">
      <c r="A718" s="3" t="n"/>
      <c r="G718" s="4">
        <f>IFERROR(E718/F718,"")</f>
        <v/>
      </c>
    </row>
    <row r="719">
      <c r="A719" s="3" t="n"/>
      <c r="G719" s="4">
        <f>IFERROR(E719/F719,"")</f>
        <v/>
      </c>
    </row>
    <row r="720">
      <c r="A720" s="3" t="n"/>
      <c r="G720" s="4">
        <f>IFERROR(E720/F720,"")</f>
        <v/>
      </c>
    </row>
    <row r="721">
      <c r="A721" s="3" t="n"/>
      <c r="G721" s="4">
        <f>IFERROR(E721/F721,"")</f>
        <v/>
      </c>
    </row>
    <row r="722">
      <c r="A722" s="3" t="n"/>
      <c r="G722" s="4">
        <f>IFERROR(E722/F722,"")</f>
        <v/>
      </c>
    </row>
    <row r="723">
      <c r="A723" s="3" t="n"/>
      <c r="G723" s="4">
        <f>IFERROR(E723/F723,"")</f>
        <v/>
      </c>
    </row>
    <row r="724">
      <c r="A724" s="3" t="n"/>
      <c r="G724" s="4">
        <f>IFERROR(E724/F724,"")</f>
        <v/>
      </c>
    </row>
    <row r="725">
      <c r="A725" s="3" t="n"/>
      <c r="G725" s="4">
        <f>IFERROR(E725/F725,"")</f>
        <v/>
      </c>
    </row>
    <row r="726">
      <c r="A726" s="3" t="n"/>
      <c r="G726" s="4">
        <f>IFERROR(E726/F726,"")</f>
        <v/>
      </c>
    </row>
    <row r="727">
      <c r="A727" s="3" t="n"/>
      <c r="G727" s="4">
        <f>IFERROR(E727/F727,"")</f>
        <v/>
      </c>
    </row>
    <row r="728">
      <c r="A728" s="3" t="n"/>
      <c r="G728" s="4">
        <f>IFERROR(E728/F728,"")</f>
        <v/>
      </c>
    </row>
    <row r="729">
      <c r="A729" s="3" t="n"/>
      <c r="G729" s="4">
        <f>IFERROR(E729/F729,"")</f>
        <v/>
      </c>
    </row>
    <row r="730">
      <c r="A730" s="3" t="n"/>
      <c r="G730" s="4">
        <f>IFERROR(E730/F730,"")</f>
        <v/>
      </c>
    </row>
    <row r="731">
      <c r="A731" s="3" t="n"/>
      <c r="G731" s="4">
        <f>IFERROR(E731/F731,"")</f>
        <v/>
      </c>
    </row>
    <row r="732">
      <c r="A732" s="3" t="n"/>
      <c r="G732" s="4">
        <f>IFERROR(E732/F732,"")</f>
        <v/>
      </c>
    </row>
    <row r="733">
      <c r="A733" s="3" t="n"/>
      <c r="G733" s="4">
        <f>IFERROR(E733/F733,"")</f>
        <v/>
      </c>
    </row>
    <row r="734">
      <c r="A734" s="3" t="n"/>
      <c r="G734" s="4">
        <f>IFERROR(E734/F734,"")</f>
        <v/>
      </c>
    </row>
    <row r="735">
      <c r="A735" s="3" t="n"/>
      <c r="G735" s="4">
        <f>IFERROR(E735/F735,"")</f>
        <v/>
      </c>
    </row>
    <row r="736">
      <c r="A736" s="3" t="n"/>
      <c r="G736" s="4">
        <f>IFERROR(E736/F736,"")</f>
        <v/>
      </c>
    </row>
    <row r="737">
      <c r="A737" s="3" t="n"/>
      <c r="G737" s="4">
        <f>IFERROR(E737/F737,"")</f>
        <v/>
      </c>
    </row>
    <row r="738">
      <c r="A738" s="3" t="n"/>
      <c r="G738" s="4">
        <f>IFERROR(E738/F738,"")</f>
        <v/>
      </c>
    </row>
    <row r="739">
      <c r="A739" s="3" t="n"/>
      <c r="G739" s="4">
        <f>IFERROR(E739/F739,"")</f>
        <v/>
      </c>
    </row>
    <row r="740">
      <c r="A740" s="3" t="n"/>
      <c r="G740" s="4">
        <f>IFERROR(E740/F740,"")</f>
        <v/>
      </c>
    </row>
    <row r="741">
      <c r="A741" s="3" t="n"/>
      <c r="G741" s="4">
        <f>IFERROR(E741/F741,"")</f>
        <v/>
      </c>
    </row>
    <row r="742">
      <c r="A742" s="3" t="n"/>
      <c r="G742" s="4">
        <f>IFERROR(E742/F742,"")</f>
        <v/>
      </c>
    </row>
    <row r="743">
      <c r="A743" s="3" t="n"/>
      <c r="G743" s="4">
        <f>IFERROR(E743/F743,"")</f>
        <v/>
      </c>
    </row>
    <row r="744">
      <c r="A744" s="3" t="n"/>
      <c r="G744" s="4">
        <f>IFERROR(E744/F744,"")</f>
        <v/>
      </c>
    </row>
    <row r="745">
      <c r="A745" s="3" t="n"/>
      <c r="G745" s="4">
        <f>IFERROR(E745/F745,"")</f>
        <v/>
      </c>
    </row>
    <row r="746">
      <c r="A746" s="3" t="n"/>
      <c r="G746" s="4">
        <f>IFERROR(E746/F746,"")</f>
        <v/>
      </c>
    </row>
    <row r="747">
      <c r="A747" s="3" t="n"/>
      <c r="G747" s="4">
        <f>IFERROR(E747/F747,"")</f>
        <v/>
      </c>
    </row>
    <row r="748">
      <c r="A748" s="3" t="n"/>
      <c r="G748" s="4">
        <f>IFERROR(E748/F748,"")</f>
        <v/>
      </c>
    </row>
    <row r="749">
      <c r="A749" s="3" t="n"/>
      <c r="G749" s="4">
        <f>IFERROR(E749/F749,"")</f>
        <v/>
      </c>
    </row>
    <row r="750">
      <c r="A750" s="3" t="n"/>
      <c r="G750" s="4">
        <f>IFERROR(E750/F750,"")</f>
        <v/>
      </c>
    </row>
    <row r="751">
      <c r="A751" s="3" t="n"/>
      <c r="G751" s="4">
        <f>IFERROR(E751/F751,"")</f>
        <v/>
      </c>
    </row>
    <row r="752">
      <c r="A752" s="3" t="n"/>
      <c r="G752" s="4">
        <f>IFERROR(E752/F752,"")</f>
        <v/>
      </c>
    </row>
    <row r="753">
      <c r="A753" s="3" t="n"/>
      <c r="G753" s="4">
        <f>IFERROR(E753/F753,"")</f>
        <v/>
      </c>
    </row>
    <row r="754">
      <c r="A754" s="3" t="n"/>
      <c r="G754" s="4">
        <f>IFERROR(E754/F754,"")</f>
        <v/>
      </c>
    </row>
    <row r="755">
      <c r="A755" s="3" t="n"/>
      <c r="G755" s="4">
        <f>IFERROR(E755/F755,"")</f>
        <v/>
      </c>
    </row>
    <row r="756">
      <c r="A756" s="3" t="n"/>
      <c r="G756" s="4">
        <f>IFERROR(E756/F756,"")</f>
        <v/>
      </c>
    </row>
    <row r="757">
      <c r="A757" s="3" t="n"/>
      <c r="G757" s="4">
        <f>IFERROR(E757/F757,"")</f>
        <v/>
      </c>
    </row>
    <row r="758">
      <c r="A758" s="3" t="n"/>
      <c r="G758" s="4">
        <f>IFERROR(E758/F758,"")</f>
        <v/>
      </c>
    </row>
    <row r="759">
      <c r="A759" s="3" t="n"/>
      <c r="G759" s="4">
        <f>IFERROR(E759/F759,"")</f>
        <v/>
      </c>
    </row>
    <row r="760">
      <c r="A760" s="3" t="n"/>
      <c r="G760" s="4">
        <f>IFERROR(E760/F760,"")</f>
        <v/>
      </c>
    </row>
    <row r="761">
      <c r="A761" s="3" t="n"/>
      <c r="G761" s="4">
        <f>IFERROR(E761/F761,"")</f>
        <v/>
      </c>
    </row>
    <row r="762">
      <c r="A762" s="3" t="n"/>
      <c r="G762" s="4">
        <f>IFERROR(E762/F762,"")</f>
        <v/>
      </c>
    </row>
    <row r="763">
      <c r="A763" s="3" t="n"/>
      <c r="G763" s="4">
        <f>IFERROR(E763/F763,"")</f>
        <v/>
      </c>
    </row>
    <row r="764">
      <c r="A764" s="3" t="n"/>
      <c r="G764" s="4">
        <f>IFERROR(E764/F764,"")</f>
        <v/>
      </c>
    </row>
    <row r="765">
      <c r="A765" s="3" t="n"/>
      <c r="G765" s="4">
        <f>IFERROR(E765/F765,"")</f>
        <v/>
      </c>
    </row>
    <row r="766">
      <c r="A766" s="3" t="n"/>
      <c r="G766" s="4">
        <f>IFERROR(E766/F766,"")</f>
        <v/>
      </c>
    </row>
    <row r="767">
      <c r="A767" s="3" t="n"/>
      <c r="G767" s="4">
        <f>IFERROR(E767/F767,"")</f>
        <v/>
      </c>
    </row>
    <row r="768">
      <c r="A768" s="3" t="n"/>
      <c r="G768" s="4">
        <f>IFERROR(E768/F768,"")</f>
        <v/>
      </c>
    </row>
    <row r="769">
      <c r="A769" s="3" t="n"/>
      <c r="G769" s="4">
        <f>IFERROR(E769/F769,"")</f>
        <v/>
      </c>
    </row>
    <row r="770">
      <c r="A770" s="3" t="n"/>
      <c r="G770" s="4">
        <f>IFERROR(E770/F770,"")</f>
        <v/>
      </c>
    </row>
    <row r="771">
      <c r="A771" s="3" t="n"/>
      <c r="G771" s="4">
        <f>IFERROR(E771/F771,"")</f>
        <v/>
      </c>
    </row>
    <row r="772">
      <c r="A772" s="3" t="n"/>
      <c r="G772" s="4">
        <f>IFERROR(E772/F772,"")</f>
        <v/>
      </c>
    </row>
    <row r="773">
      <c r="A773" s="3" t="n"/>
      <c r="G773" s="4">
        <f>IFERROR(E773/F773,"")</f>
        <v/>
      </c>
    </row>
    <row r="774">
      <c r="A774" s="3" t="n"/>
      <c r="G774" s="4">
        <f>IFERROR(E774/F774,"")</f>
        <v/>
      </c>
    </row>
    <row r="775">
      <c r="A775" s="3" t="n"/>
      <c r="G775" s="4">
        <f>IFERROR(E775/F775,"")</f>
        <v/>
      </c>
    </row>
    <row r="776">
      <c r="A776" s="3" t="n"/>
      <c r="G776" s="4">
        <f>IFERROR(E776/F776,"")</f>
        <v/>
      </c>
    </row>
    <row r="777">
      <c r="A777" s="3" t="n"/>
      <c r="G777" s="4">
        <f>IFERROR(E777/F777,"")</f>
        <v/>
      </c>
    </row>
    <row r="778">
      <c r="A778" s="3" t="n"/>
      <c r="G778" s="4">
        <f>IFERROR(E778/F778,"")</f>
        <v/>
      </c>
    </row>
    <row r="779">
      <c r="A779" s="3" t="n"/>
      <c r="G779" s="4">
        <f>IFERROR(E779/F779,"")</f>
        <v/>
      </c>
    </row>
    <row r="780">
      <c r="A780" s="3" t="n"/>
      <c r="G780" s="4">
        <f>IFERROR(E780/F780,"")</f>
        <v/>
      </c>
    </row>
    <row r="781">
      <c r="A781" s="3" t="n"/>
      <c r="G781" s="4">
        <f>IFERROR(E781/F781,"")</f>
        <v/>
      </c>
    </row>
    <row r="782">
      <c r="A782" s="3" t="n"/>
      <c r="G782" s="4">
        <f>IFERROR(E782/F782,"")</f>
        <v/>
      </c>
    </row>
    <row r="783">
      <c r="A783" s="3" t="n"/>
      <c r="G783" s="4">
        <f>IFERROR(E783/F783,"")</f>
        <v/>
      </c>
    </row>
    <row r="784">
      <c r="A784" s="3" t="n"/>
      <c r="G784" s="4">
        <f>IFERROR(E784/F784,"")</f>
        <v/>
      </c>
    </row>
    <row r="785">
      <c r="A785" s="3" t="n"/>
      <c r="G785" s="4">
        <f>IFERROR(E785/F785,"")</f>
        <v/>
      </c>
    </row>
    <row r="786">
      <c r="A786" s="3" t="n"/>
      <c r="G786" s="4">
        <f>IFERROR(E786/F786,"")</f>
        <v/>
      </c>
    </row>
    <row r="787">
      <c r="A787" s="3" t="n"/>
      <c r="G787" s="4">
        <f>IFERROR(E787/F787,"")</f>
        <v/>
      </c>
    </row>
    <row r="788">
      <c r="A788" s="3" t="n"/>
      <c r="G788" s="4">
        <f>IFERROR(E788/F788,"")</f>
        <v/>
      </c>
    </row>
    <row r="789">
      <c r="A789" s="3" t="n"/>
      <c r="G789" s="4">
        <f>IFERROR(E789/F789,"")</f>
        <v/>
      </c>
    </row>
    <row r="790">
      <c r="A790" s="3" t="n"/>
      <c r="G790" s="4">
        <f>IFERROR(E790/F790,"")</f>
        <v/>
      </c>
    </row>
    <row r="791">
      <c r="A791" s="3" t="n"/>
      <c r="G791" s="4">
        <f>IFERROR(E791/F791,"")</f>
        <v/>
      </c>
    </row>
    <row r="792">
      <c r="A792" s="3" t="n"/>
      <c r="G792" s="4">
        <f>IFERROR(E792/F792,"")</f>
        <v/>
      </c>
    </row>
    <row r="793">
      <c r="A793" s="3" t="n"/>
      <c r="G793" s="4">
        <f>IFERROR(E793/F793,"")</f>
        <v/>
      </c>
    </row>
    <row r="794">
      <c r="A794" s="3" t="n"/>
      <c r="G794" s="4">
        <f>IFERROR(E794/F794,"")</f>
        <v/>
      </c>
    </row>
    <row r="795">
      <c r="A795" s="3" t="n"/>
      <c r="G795" s="4">
        <f>IFERROR(E795/F795,"")</f>
        <v/>
      </c>
    </row>
    <row r="796">
      <c r="A796" s="3" t="n"/>
      <c r="G796" s="4">
        <f>IFERROR(E796/F796,"")</f>
        <v/>
      </c>
    </row>
    <row r="797">
      <c r="A797" s="3" t="n"/>
      <c r="G797" s="4">
        <f>IFERROR(E797/F797,"")</f>
        <v/>
      </c>
    </row>
    <row r="798">
      <c r="A798" s="3" t="n"/>
      <c r="G798" s="4">
        <f>IFERROR(E798/F798,"")</f>
        <v/>
      </c>
    </row>
    <row r="799">
      <c r="A799" s="3" t="n"/>
      <c r="G799" s="4">
        <f>IFERROR(E799/F799,"")</f>
        <v/>
      </c>
    </row>
    <row r="800">
      <c r="A800" s="3" t="n"/>
      <c r="G800" s="4">
        <f>IFERROR(E800/F800,"")</f>
        <v/>
      </c>
    </row>
    <row r="801">
      <c r="A801" s="3" t="n"/>
      <c r="G801" s="4">
        <f>IFERROR(E801/F801,"")</f>
        <v/>
      </c>
    </row>
    <row r="802">
      <c r="A802" s="3" t="n"/>
      <c r="G802" s="4">
        <f>IFERROR(E802/F802,"")</f>
        <v/>
      </c>
    </row>
    <row r="803">
      <c r="A803" s="3" t="n"/>
      <c r="G803" s="4">
        <f>IFERROR(E803/F803,"")</f>
        <v/>
      </c>
    </row>
    <row r="804">
      <c r="A804" s="3" t="n"/>
      <c r="G804" s="4">
        <f>IFERROR(E804/F804,"")</f>
        <v/>
      </c>
    </row>
    <row r="805">
      <c r="A805" s="3" t="n"/>
      <c r="G805" s="4">
        <f>IFERROR(E805/F805,"")</f>
        <v/>
      </c>
    </row>
    <row r="806">
      <c r="A806" s="3" t="n"/>
      <c r="G806" s="4">
        <f>IFERROR(E806/F806,"")</f>
        <v/>
      </c>
    </row>
    <row r="807">
      <c r="A807" s="3" t="n"/>
      <c r="G807" s="4">
        <f>IFERROR(E807/F807,"")</f>
        <v/>
      </c>
    </row>
    <row r="808">
      <c r="A808" s="3" t="n"/>
      <c r="G808" s="4">
        <f>IFERROR(E808/F808,"")</f>
        <v/>
      </c>
    </row>
    <row r="809">
      <c r="A809" s="3" t="n"/>
      <c r="G809" s="4">
        <f>IFERROR(E809/F809,"")</f>
        <v/>
      </c>
    </row>
    <row r="810">
      <c r="A810" s="3" t="n"/>
      <c r="G810" s="4">
        <f>IFERROR(E810/F810,"")</f>
        <v/>
      </c>
    </row>
    <row r="811">
      <c r="A811" s="3" t="n"/>
      <c r="G811" s="4">
        <f>IFERROR(E811/F811,"")</f>
        <v/>
      </c>
    </row>
    <row r="812">
      <c r="A812" s="3" t="n"/>
      <c r="G812" s="4">
        <f>IFERROR(E812/F812,"")</f>
        <v/>
      </c>
    </row>
    <row r="813">
      <c r="A813" s="3" t="n"/>
      <c r="G813" s="4">
        <f>IFERROR(E813/F813,"")</f>
        <v/>
      </c>
    </row>
    <row r="814">
      <c r="A814" s="3" t="n"/>
      <c r="G814" s="4">
        <f>IFERROR(E814/F814,"")</f>
        <v/>
      </c>
    </row>
    <row r="815">
      <c r="A815" s="3" t="n"/>
      <c r="G815" s="4">
        <f>IFERROR(E815/F815,"")</f>
        <v/>
      </c>
    </row>
    <row r="816">
      <c r="A816" s="3" t="n"/>
      <c r="G816" s="4">
        <f>IFERROR(E816/F816,"")</f>
        <v/>
      </c>
    </row>
    <row r="817">
      <c r="A817" s="3" t="n"/>
      <c r="G817" s="4">
        <f>IFERROR(E817/F817,"")</f>
        <v/>
      </c>
    </row>
    <row r="818">
      <c r="A818" s="3" t="n"/>
      <c r="G818" s="4">
        <f>IFERROR(E818/F818,"")</f>
        <v/>
      </c>
    </row>
    <row r="819">
      <c r="A819" s="3" t="n"/>
      <c r="G819" s="4">
        <f>IFERROR(E819/F819,"")</f>
        <v/>
      </c>
    </row>
    <row r="820">
      <c r="A820" s="3" t="n"/>
      <c r="G820" s="4">
        <f>IFERROR(E820/F820,"")</f>
        <v/>
      </c>
    </row>
    <row r="821">
      <c r="A821" s="3" t="n"/>
      <c r="G821" s="4">
        <f>IFERROR(E821/F821,"")</f>
        <v/>
      </c>
    </row>
    <row r="822">
      <c r="A822" s="3" t="n"/>
      <c r="G822" s="4">
        <f>IFERROR(E822/F822,"")</f>
        <v/>
      </c>
    </row>
    <row r="823">
      <c r="A823" s="3" t="n"/>
      <c r="G823" s="4">
        <f>IFERROR(E823/F823,"")</f>
        <v/>
      </c>
    </row>
    <row r="824">
      <c r="A824" s="3" t="n"/>
      <c r="G824" s="4">
        <f>IFERROR(E824/F824,"")</f>
        <v/>
      </c>
    </row>
    <row r="825">
      <c r="A825" s="3" t="n"/>
      <c r="G825" s="4">
        <f>IFERROR(E825/F825,"")</f>
        <v/>
      </c>
    </row>
    <row r="826">
      <c r="A826" s="3" t="n"/>
      <c r="G826" s="4">
        <f>IFERROR(E826/F826,"")</f>
        <v/>
      </c>
    </row>
    <row r="827">
      <c r="A827" s="3" t="n"/>
      <c r="G827" s="4">
        <f>IFERROR(E827/F827,"")</f>
        <v/>
      </c>
    </row>
    <row r="828">
      <c r="A828" s="3" t="n"/>
      <c r="G828" s="4">
        <f>IFERROR(E828/F828,"")</f>
        <v/>
      </c>
    </row>
    <row r="829">
      <c r="A829" s="3" t="n"/>
      <c r="G829" s="4">
        <f>IFERROR(E829/F829,"")</f>
        <v/>
      </c>
    </row>
    <row r="830">
      <c r="A830" s="3" t="n"/>
      <c r="G830" s="4">
        <f>IFERROR(E830/F830,"")</f>
        <v/>
      </c>
    </row>
    <row r="831">
      <c r="A831" s="3" t="n"/>
      <c r="G831" s="4">
        <f>IFERROR(E831/F831,"")</f>
        <v/>
      </c>
    </row>
    <row r="832">
      <c r="A832" s="3" t="n"/>
      <c r="G832" s="4">
        <f>IFERROR(E832/F832,"")</f>
        <v/>
      </c>
    </row>
    <row r="833">
      <c r="A833" s="3" t="n"/>
      <c r="G833" s="4">
        <f>IFERROR(E833/F833,"")</f>
        <v/>
      </c>
    </row>
    <row r="834">
      <c r="A834" s="3" t="n"/>
      <c r="G834" s="4">
        <f>IFERROR(E834/F834,"")</f>
        <v/>
      </c>
    </row>
    <row r="835">
      <c r="A835" s="3" t="n"/>
      <c r="G835" s="4">
        <f>IFERROR(E835/F835,"")</f>
        <v/>
      </c>
    </row>
    <row r="836">
      <c r="A836" s="3" t="n"/>
      <c r="G836" s="4">
        <f>IFERROR(E836/F836,"")</f>
        <v/>
      </c>
    </row>
    <row r="837">
      <c r="A837" s="3" t="n"/>
      <c r="G837" s="4">
        <f>IFERROR(E837/F837,"")</f>
        <v/>
      </c>
    </row>
    <row r="838">
      <c r="A838" s="3" t="n"/>
      <c r="G838" s="4">
        <f>IFERROR(E838/F838,"")</f>
        <v/>
      </c>
    </row>
    <row r="839">
      <c r="A839" s="3" t="n"/>
      <c r="G839" s="4">
        <f>IFERROR(E839/F839,"")</f>
        <v/>
      </c>
    </row>
    <row r="840">
      <c r="A840" s="3" t="n"/>
      <c r="G840" s="4">
        <f>IFERROR(E840/F840,"")</f>
        <v/>
      </c>
    </row>
    <row r="841">
      <c r="A841" s="3" t="n"/>
      <c r="G841" s="4">
        <f>IFERROR(E841/F841,"")</f>
        <v/>
      </c>
    </row>
    <row r="842">
      <c r="A842" s="3" t="n"/>
      <c r="G842" s="4">
        <f>IFERROR(E842/F842,"")</f>
        <v/>
      </c>
    </row>
    <row r="843">
      <c r="A843" s="3" t="n"/>
      <c r="G843" s="4">
        <f>IFERROR(E843/F843,"")</f>
        <v/>
      </c>
    </row>
    <row r="844">
      <c r="A844" s="3" t="n"/>
      <c r="G844" s="4">
        <f>IFERROR(E844/F844,"")</f>
        <v/>
      </c>
    </row>
    <row r="845">
      <c r="A845" s="3" t="n"/>
      <c r="G845" s="4">
        <f>IFERROR(E845/F845,"")</f>
        <v/>
      </c>
    </row>
    <row r="846">
      <c r="A846" s="3" t="n"/>
      <c r="G846" s="4">
        <f>IFERROR(E846/F846,"")</f>
        <v/>
      </c>
    </row>
    <row r="847">
      <c r="A847" s="3" t="n"/>
      <c r="G847" s="4">
        <f>IFERROR(E847/F847,"")</f>
        <v/>
      </c>
    </row>
    <row r="848">
      <c r="A848" s="3" t="n"/>
      <c r="G848" s="4">
        <f>IFERROR(E848/F848,"")</f>
        <v/>
      </c>
    </row>
    <row r="849">
      <c r="A849" s="3" t="n"/>
      <c r="G849" s="4">
        <f>IFERROR(E849/F849,"")</f>
        <v/>
      </c>
    </row>
    <row r="850">
      <c r="A850" s="3" t="n"/>
      <c r="G850" s="4">
        <f>IFERROR(E850/F850,"")</f>
        <v/>
      </c>
    </row>
    <row r="851">
      <c r="A851" s="3" t="n"/>
      <c r="G851" s="4">
        <f>IFERROR(E851/F851,"")</f>
        <v/>
      </c>
    </row>
    <row r="852">
      <c r="A852" s="3" t="n"/>
      <c r="G852" s="4">
        <f>IFERROR(E852/F852,"")</f>
        <v/>
      </c>
    </row>
    <row r="853">
      <c r="A853" s="3" t="n"/>
      <c r="G853" s="4">
        <f>IFERROR(E853/F853,"")</f>
        <v/>
      </c>
    </row>
    <row r="854">
      <c r="A854" s="3" t="n"/>
      <c r="G854" s="4">
        <f>IFERROR(E854/F854,"")</f>
        <v/>
      </c>
    </row>
    <row r="855">
      <c r="A855" s="3" t="n"/>
      <c r="G855" s="4">
        <f>IFERROR(E855/F855,"")</f>
        <v/>
      </c>
    </row>
    <row r="856">
      <c r="A856" s="3" t="n"/>
      <c r="G856" s="4">
        <f>IFERROR(E856/F856,"")</f>
        <v/>
      </c>
    </row>
    <row r="857">
      <c r="A857" s="3" t="n"/>
      <c r="G857" s="4">
        <f>IFERROR(E857/F857,"")</f>
        <v/>
      </c>
    </row>
    <row r="858">
      <c r="A858" s="3" t="n"/>
      <c r="G858" s="4">
        <f>IFERROR(E858/F858,"")</f>
        <v/>
      </c>
    </row>
    <row r="859">
      <c r="A859" s="3" t="n"/>
      <c r="G859" s="4">
        <f>IFERROR(E859/F859,"")</f>
        <v/>
      </c>
    </row>
    <row r="860">
      <c r="A860" s="3" t="n"/>
      <c r="G860" s="4">
        <f>IFERROR(E860/F860,"")</f>
        <v/>
      </c>
    </row>
    <row r="861">
      <c r="A861" s="3" t="n"/>
      <c r="G861" s="4">
        <f>IFERROR(E861/F861,"")</f>
        <v/>
      </c>
    </row>
    <row r="862">
      <c r="A862" s="3" t="n"/>
      <c r="G862" s="4">
        <f>IFERROR(E862/F862,"")</f>
        <v/>
      </c>
    </row>
    <row r="863">
      <c r="A863" s="3" t="n"/>
      <c r="G863" s="4">
        <f>IFERROR(E863/F863,"")</f>
        <v/>
      </c>
    </row>
    <row r="864">
      <c r="A864" s="3" t="n"/>
      <c r="G864" s="4">
        <f>IFERROR(E864/F864,"")</f>
        <v/>
      </c>
    </row>
    <row r="865">
      <c r="A865" s="3" t="n"/>
      <c r="G865" s="4">
        <f>IFERROR(E865/F865,"")</f>
        <v/>
      </c>
    </row>
    <row r="866">
      <c r="A866" s="3" t="n"/>
      <c r="G866" s="4">
        <f>IFERROR(E866/F866,"")</f>
        <v/>
      </c>
    </row>
    <row r="867">
      <c r="A867" s="3" t="n"/>
      <c r="G867" s="4">
        <f>IFERROR(E867/F867,"")</f>
        <v/>
      </c>
    </row>
    <row r="868">
      <c r="A868" s="3" t="n"/>
      <c r="G868" s="4">
        <f>IFERROR(E868/F868,"")</f>
        <v/>
      </c>
    </row>
    <row r="869">
      <c r="A869" s="3" t="n"/>
      <c r="G869" s="4">
        <f>IFERROR(E869/F869,"")</f>
        <v/>
      </c>
    </row>
    <row r="870">
      <c r="A870" s="3" t="n"/>
      <c r="G870" s="4">
        <f>IFERROR(E870/F870,"")</f>
        <v/>
      </c>
    </row>
    <row r="871">
      <c r="A871" s="3" t="n"/>
      <c r="G871" s="4">
        <f>IFERROR(E871/F871,"")</f>
        <v/>
      </c>
    </row>
    <row r="872">
      <c r="A872" s="3" t="n"/>
      <c r="G872" s="4">
        <f>IFERROR(E872/F872,"")</f>
        <v/>
      </c>
    </row>
    <row r="873">
      <c r="A873" s="3" t="n"/>
      <c r="G873" s="4">
        <f>IFERROR(E873/F873,"")</f>
        <v/>
      </c>
    </row>
    <row r="874">
      <c r="A874" s="3" t="n"/>
      <c r="G874" s="4">
        <f>IFERROR(E874/F874,"")</f>
        <v/>
      </c>
    </row>
    <row r="875">
      <c r="A875" s="3" t="n"/>
      <c r="G875" s="4">
        <f>IFERROR(E875/F875,"")</f>
        <v/>
      </c>
    </row>
    <row r="876">
      <c r="A876" s="3" t="n"/>
      <c r="G876" s="4">
        <f>IFERROR(E876/F876,"")</f>
        <v/>
      </c>
    </row>
    <row r="877">
      <c r="A877" s="3" t="n"/>
      <c r="G877" s="4">
        <f>IFERROR(E877/F877,"")</f>
        <v/>
      </c>
    </row>
    <row r="878">
      <c r="A878" s="3" t="n"/>
      <c r="G878" s="4">
        <f>IFERROR(E878/F878,"")</f>
        <v/>
      </c>
    </row>
    <row r="879">
      <c r="A879" s="3" t="n"/>
      <c r="G879" s="4">
        <f>IFERROR(E879/F879,"")</f>
        <v/>
      </c>
    </row>
    <row r="880">
      <c r="A880" s="3" t="n"/>
      <c r="G880" s="4">
        <f>IFERROR(E880/F880,"")</f>
        <v/>
      </c>
    </row>
    <row r="881">
      <c r="A881" s="3" t="n"/>
      <c r="G881" s="4">
        <f>IFERROR(E881/F881,"")</f>
        <v/>
      </c>
    </row>
    <row r="882">
      <c r="A882" s="3" t="n"/>
      <c r="G882" s="4">
        <f>IFERROR(E882/F882,"")</f>
        <v/>
      </c>
    </row>
    <row r="883">
      <c r="A883" s="3" t="n"/>
      <c r="G883" s="4">
        <f>IFERROR(E883/F883,"")</f>
        <v/>
      </c>
    </row>
    <row r="884">
      <c r="A884" s="3" t="n"/>
      <c r="G884" s="4">
        <f>IFERROR(E884/F884,"")</f>
        <v/>
      </c>
    </row>
    <row r="885">
      <c r="A885" s="3" t="n"/>
      <c r="G885" s="4">
        <f>IFERROR(E885/F885,"")</f>
        <v/>
      </c>
    </row>
    <row r="886">
      <c r="A886" s="3" t="n"/>
      <c r="G886" s="4">
        <f>IFERROR(E886/F886,"")</f>
        <v/>
      </c>
    </row>
    <row r="887">
      <c r="A887" s="3" t="n"/>
      <c r="G887" s="4">
        <f>IFERROR(E887/F887,"")</f>
        <v/>
      </c>
    </row>
    <row r="888">
      <c r="A888" s="3" t="n"/>
      <c r="G888" s="4">
        <f>IFERROR(E888/F888,"")</f>
        <v/>
      </c>
    </row>
    <row r="889">
      <c r="A889" s="3" t="n"/>
      <c r="G889" s="4">
        <f>IFERROR(E889/F889,"")</f>
        <v/>
      </c>
    </row>
    <row r="890">
      <c r="A890" s="3" t="n"/>
      <c r="G890" s="4">
        <f>IFERROR(E890/F890,"")</f>
        <v/>
      </c>
    </row>
    <row r="891">
      <c r="A891" s="3" t="n"/>
      <c r="G891" s="4">
        <f>IFERROR(E891/F891,"")</f>
        <v/>
      </c>
    </row>
    <row r="892">
      <c r="A892" s="3" t="n"/>
      <c r="G892" s="4">
        <f>IFERROR(E892/F892,"")</f>
        <v/>
      </c>
    </row>
    <row r="893">
      <c r="A893" s="3" t="n"/>
      <c r="G893" s="4">
        <f>IFERROR(E893/F893,"")</f>
        <v/>
      </c>
    </row>
    <row r="894">
      <c r="A894" s="3" t="n"/>
      <c r="G894" s="4">
        <f>IFERROR(E894/F894,"")</f>
        <v/>
      </c>
    </row>
    <row r="895">
      <c r="A895" s="3" t="n"/>
      <c r="G895" s="4">
        <f>IFERROR(E895/F895,"")</f>
        <v/>
      </c>
    </row>
    <row r="896">
      <c r="A896" s="3" t="n"/>
      <c r="G896" s="4">
        <f>IFERROR(E896/F896,"")</f>
        <v/>
      </c>
    </row>
    <row r="897">
      <c r="A897" s="3" t="n"/>
      <c r="G897" s="4">
        <f>IFERROR(E897/F897,"")</f>
        <v/>
      </c>
    </row>
    <row r="898">
      <c r="A898" s="3" t="n"/>
      <c r="G898" s="4">
        <f>IFERROR(E898/F898,"")</f>
        <v/>
      </c>
    </row>
    <row r="899">
      <c r="A899" s="3" t="n"/>
      <c r="G899" s="4">
        <f>IFERROR(E899/F899,"")</f>
        <v/>
      </c>
    </row>
    <row r="900">
      <c r="A900" s="3" t="n"/>
      <c r="G900" s="4">
        <f>IFERROR(E900/F900,"")</f>
        <v/>
      </c>
    </row>
    <row r="901">
      <c r="A901" s="3" t="n"/>
      <c r="G901" s="4">
        <f>IFERROR(E901/F901,"")</f>
        <v/>
      </c>
    </row>
    <row r="902">
      <c r="A902" s="3" t="n"/>
      <c r="G902" s="4">
        <f>IFERROR(E902/F902,"")</f>
        <v/>
      </c>
    </row>
    <row r="903">
      <c r="A903" s="3" t="n"/>
      <c r="G903" s="4">
        <f>IFERROR(E903/F903,"")</f>
        <v/>
      </c>
    </row>
    <row r="904">
      <c r="A904" s="3" t="n"/>
      <c r="G904" s="4">
        <f>IFERROR(E904/F904,"")</f>
        <v/>
      </c>
    </row>
    <row r="905">
      <c r="A905" s="3" t="n"/>
      <c r="G905" s="4">
        <f>IFERROR(E905/F905,"")</f>
        <v/>
      </c>
    </row>
    <row r="906">
      <c r="A906" s="3" t="n"/>
      <c r="G906" s="4">
        <f>IFERROR(E906/F906,"")</f>
        <v/>
      </c>
    </row>
    <row r="907">
      <c r="A907" s="3" t="n"/>
      <c r="G907" s="4">
        <f>IFERROR(E907/F907,"")</f>
        <v/>
      </c>
    </row>
    <row r="908">
      <c r="A908" s="3" t="n"/>
      <c r="G908" s="4">
        <f>IFERROR(E908/F908,"")</f>
        <v/>
      </c>
    </row>
    <row r="909">
      <c r="A909" s="3" t="n"/>
      <c r="G909" s="4">
        <f>IFERROR(E909/F909,"")</f>
        <v/>
      </c>
    </row>
    <row r="910">
      <c r="A910" s="3" t="n"/>
      <c r="G910" s="4">
        <f>IFERROR(E910/F910,"")</f>
        <v/>
      </c>
    </row>
    <row r="911">
      <c r="A911" s="3" t="n"/>
      <c r="G911" s="4">
        <f>IFERROR(E911/F911,"")</f>
        <v/>
      </c>
    </row>
    <row r="912">
      <c r="A912" s="3" t="n"/>
      <c r="G912" s="4">
        <f>IFERROR(E912/F912,"")</f>
        <v/>
      </c>
    </row>
    <row r="913">
      <c r="A913" s="3" t="n"/>
      <c r="G913" s="4">
        <f>IFERROR(E913/F913,"")</f>
        <v/>
      </c>
    </row>
    <row r="914">
      <c r="A914" s="3" t="n"/>
      <c r="G914" s="4">
        <f>IFERROR(E914/F914,"")</f>
        <v/>
      </c>
    </row>
    <row r="915">
      <c r="A915" s="3" t="n"/>
      <c r="G915" s="4">
        <f>IFERROR(E915/F915,"")</f>
        <v/>
      </c>
    </row>
    <row r="916">
      <c r="A916" s="3" t="n"/>
      <c r="G916" s="4">
        <f>IFERROR(E916/F916,"")</f>
        <v/>
      </c>
    </row>
    <row r="917">
      <c r="A917" s="3" t="n"/>
      <c r="G917" s="4">
        <f>IFERROR(E917/F917,"")</f>
        <v/>
      </c>
    </row>
    <row r="918">
      <c r="A918" s="3" t="n"/>
      <c r="G918" s="4">
        <f>IFERROR(E918/F918,"")</f>
        <v/>
      </c>
    </row>
    <row r="919">
      <c r="A919" s="3" t="n"/>
      <c r="G919" s="4">
        <f>IFERROR(E919/F919,"")</f>
        <v/>
      </c>
    </row>
    <row r="920">
      <c r="A920" s="3" t="n"/>
      <c r="G920" s="4">
        <f>IFERROR(E920/F920,"")</f>
        <v/>
      </c>
    </row>
    <row r="921">
      <c r="A921" s="3" t="n"/>
      <c r="G921" s="4">
        <f>IFERROR(E921/F921,"")</f>
        <v/>
      </c>
    </row>
    <row r="922">
      <c r="A922" s="3" t="n"/>
      <c r="G922" s="4">
        <f>IFERROR(E922/F922,"")</f>
        <v/>
      </c>
    </row>
    <row r="923">
      <c r="A923" s="3" t="n"/>
      <c r="G923" s="4">
        <f>IFERROR(E923/F923,"")</f>
        <v/>
      </c>
    </row>
    <row r="924">
      <c r="A924" s="3" t="n"/>
      <c r="G924" s="4">
        <f>IFERROR(E924/F924,"")</f>
        <v/>
      </c>
    </row>
    <row r="925">
      <c r="A925" s="3" t="n"/>
      <c r="G925" s="4">
        <f>IFERROR(E925/F925,"")</f>
        <v/>
      </c>
    </row>
    <row r="926">
      <c r="A926" s="3" t="n"/>
      <c r="G926" s="4">
        <f>IFERROR(E926/F926,"")</f>
        <v/>
      </c>
    </row>
    <row r="927">
      <c r="A927" s="3" t="n"/>
      <c r="G927" s="4">
        <f>IFERROR(E927/F927,"")</f>
        <v/>
      </c>
    </row>
    <row r="928">
      <c r="A928" s="3" t="n"/>
      <c r="G928" s="4">
        <f>IFERROR(E928/F928,"")</f>
        <v/>
      </c>
    </row>
    <row r="929">
      <c r="A929" s="3" t="n"/>
      <c r="G929" s="4">
        <f>IFERROR(E929/F929,"")</f>
        <v/>
      </c>
    </row>
    <row r="930">
      <c r="A930" s="3" t="n"/>
      <c r="G930" s="4">
        <f>IFERROR(E930/F930,"")</f>
        <v/>
      </c>
    </row>
    <row r="931">
      <c r="A931" s="3" t="n"/>
      <c r="G931" s="4">
        <f>IFERROR(E931/F931,"")</f>
        <v/>
      </c>
    </row>
    <row r="932">
      <c r="A932" s="3" t="n"/>
      <c r="G932" s="4">
        <f>IFERROR(E932/F932,"")</f>
        <v/>
      </c>
    </row>
    <row r="933">
      <c r="A933" s="3" t="n"/>
      <c r="G933" s="4">
        <f>IFERROR(E933/F933,"")</f>
        <v/>
      </c>
    </row>
    <row r="934">
      <c r="A934" s="3" t="n"/>
      <c r="G934" s="4">
        <f>IFERROR(E934/F934,"")</f>
        <v/>
      </c>
    </row>
    <row r="935">
      <c r="A935" s="3" t="n"/>
      <c r="G935" s="4">
        <f>IFERROR(E935/F935,"")</f>
        <v/>
      </c>
    </row>
    <row r="936">
      <c r="A936" s="3" t="n"/>
      <c r="G936" s="4">
        <f>IFERROR(E936/F936,"")</f>
        <v/>
      </c>
    </row>
    <row r="937">
      <c r="A937" s="3" t="n"/>
      <c r="G937" s="4">
        <f>IFERROR(E937/F937,"")</f>
        <v/>
      </c>
    </row>
    <row r="938">
      <c r="A938" s="3" t="n"/>
      <c r="G938" s="4">
        <f>IFERROR(E938/F938,"")</f>
        <v/>
      </c>
    </row>
    <row r="939">
      <c r="A939" s="3" t="n"/>
      <c r="G939" s="4">
        <f>IFERROR(E939/F939,"")</f>
        <v/>
      </c>
    </row>
    <row r="940">
      <c r="A940" s="3" t="n"/>
      <c r="G940" s="4">
        <f>IFERROR(E940/F940,"")</f>
        <v/>
      </c>
    </row>
    <row r="941">
      <c r="A941" s="3" t="n"/>
      <c r="G941" s="4">
        <f>IFERROR(E941/F941,"")</f>
        <v/>
      </c>
    </row>
    <row r="942">
      <c r="A942" s="3" t="n"/>
      <c r="G942" s="4">
        <f>IFERROR(E942/F942,"")</f>
        <v/>
      </c>
    </row>
    <row r="943">
      <c r="A943" s="3" t="n"/>
      <c r="G943" s="4">
        <f>IFERROR(E943/F943,"")</f>
        <v/>
      </c>
    </row>
    <row r="944">
      <c r="A944" s="3" t="n"/>
      <c r="G944" s="4">
        <f>IFERROR(E944/F944,"")</f>
        <v/>
      </c>
    </row>
    <row r="945">
      <c r="A945" s="3" t="n"/>
      <c r="G945" s="4">
        <f>IFERROR(E945/F945,"")</f>
        <v/>
      </c>
    </row>
    <row r="946">
      <c r="A946" s="3" t="n"/>
      <c r="G946" s="4">
        <f>IFERROR(E946/F946,"")</f>
        <v/>
      </c>
    </row>
    <row r="947">
      <c r="A947" s="3" t="n"/>
      <c r="G947" s="4">
        <f>IFERROR(E947/F947,"")</f>
        <v/>
      </c>
    </row>
    <row r="948">
      <c r="A948" s="3" t="n"/>
      <c r="G948" s="4">
        <f>IFERROR(E948/F948,"")</f>
        <v/>
      </c>
    </row>
    <row r="949">
      <c r="A949" s="3" t="n"/>
      <c r="G949" s="4">
        <f>IFERROR(E949/F949,"")</f>
        <v/>
      </c>
    </row>
    <row r="950">
      <c r="A950" s="3" t="n"/>
      <c r="G950" s="4">
        <f>IFERROR(E950/F950,"")</f>
        <v/>
      </c>
    </row>
    <row r="951">
      <c r="A951" s="3" t="n"/>
      <c r="G951" s="4">
        <f>IFERROR(E951/F951,"")</f>
        <v/>
      </c>
    </row>
    <row r="952">
      <c r="A952" s="3" t="n"/>
      <c r="G952" s="4">
        <f>IFERROR(E952/F952,"")</f>
        <v/>
      </c>
    </row>
    <row r="953">
      <c r="A953" s="3" t="n"/>
      <c r="G953" s="4">
        <f>IFERROR(E953/F953,"")</f>
        <v/>
      </c>
    </row>
    <row r="954">
      <c r="A954" s="3" t="n"/>
      <c r="G954" s="4">
        <f>IFERROR(E954/F954,"")</f>
        <v/>
      </c>
    </row>
    <row r="955">
      <c r="A955" s="3" t="n"/>
      <c r="G955" s="4">
        <f>IFERROR(E955/F955,"")</f>
        <v/>
      </c>
    </row>
    <row r="956">
      <c r="A956" s="3" t="n"/>
      <c r="G956" s="4">
        <f>IFERROR(E956/F956,"")</f>
        <v/>
      </c>
    </row>
    <row r="957">
      <c r="A957" s="3" t="n"/>
      <c r="G957" s="4">
        <f>IFERROR(E957/F957,"")</f>
        <v/>
      </c>
    </row>
    <row r="958">
      <c r="A958" s="3" t="n"/>
      <c r="G958" s="4">
        <f>IFERROR(E958/F958,"")</f>
        <v/>
      </c>
    </row>
    <row r="959">
      <c r="A959" s="3" t="n"/>
      <c r="G959" s="4">
        <f>IFERROR(E959/F959,"")</f>
        <v/>
      </c>
    </row>
    <row r="960">
      <c r="A960" s="3" t="n"/>
      <c r="G960" s="4">
        <f>IFERROR(E960/F960,"")</f>
        <v/>
      </c>
    </row>
    <row r="961">
      <c r="A961" s="3" t="n"/>
      <c r="G961" s="4">
        <f>IFERROR(E961/F961,"")</f>
        <v/>
      </c>
    </row>
    <row r="962">
      <c r="A962" s="3" t="n"/>
      <c r="G962" s="4">
        <f>IFERROR(E962/F962,"")</f>
        <v/>
      </c>
    </row>
    <row r="963">
      <c r="A963" s="3" t="n"/>
      <c r="G963" s="4">
        <f>IFERROR(E963/F963,"")</f>
        <v/>
      </c>
    </row>
    <row r="964">
      <c r="A964" s="3" t="n"/>
      <c r="G964" s="4">
        <f>IFERROR(E964/F964,"")</f>
        <v/>
      </c>
    </row>
    <row r="965">
      <c r="A965" s="3" t="n"/>
      <c r="G965" s="4">
        <f>IFERROR(E965/F965,"")</f>
        <v/>
      </c>
    </row>
    <row r="966">
      <c r="A966" s="3" t="n"/>
      <c r="G966" s="4">
        <f>IFERROR(E966/F966,"")</f>
        <v/>
      </c>
    </row>
    <row r="967">
      <c r="A967" s="3" t="n"/>
      <c r="G967" s="4">
        <f>IFERROR(E967/F967,"")</f>
        <v/>
      </c>
    </row>
    <row r="968">
      <c r="A968" s="3" t="n"/>
      <c r="G968" s="4">
        <f>IFERROR(E968/F968,"")</f>
        <v/>
      </c>
    </row>
    <row r="969">
      <c r="A969" s="3" t="n"/>
      <c r="G969" s="4">
        <f>IFERROR(E969/F969,"")</f>
        <v/>
      </c>
    </row>
    <row r="970">
      <c r="A970" s="3" t="n"/>
      <c r="G970" s="4">
        <f>IFERROR(E970/F970,"")</f>
        <v/>
      </c>
    </row>
    <row r="971">
      <c r="A971" s="3" t="n"/>
      <c r="G971" s="4">
        <f>IFERROR(E971/F971,"")</f>
        <v/>
      </c>
    </row>
    <row r="972">
      <c r="A972" s="3" t="n"/>
      <c r="G972" s="4">
        <f>IFERROR(E972/F972,"")</f>
        <v/>
      </c>
    </row>
    <row r="973">
      <c r="A973" s="3" t="n"/>
      <c r="G973" s="4">
        <f>IFERROR(E973/F973,"")</f>
        <v/>
      </c>
    </row>
    <row r="974">
      <c r="A974" s="3" t="n"/>
      <c r="G974" s="4">
        <f>IFERROR(E974/F974,"")</f>
        <v/>
      </c>
    </row>
    <row r="975">
      <c r="A975" s="3" t="n"/>
      <c r="G975" s="4">
        <f>IFERROR(E975/F975,"")</f>
        <v/>
      </c>
    </row>
    <row r="976">
      <c r="A976" s="3" t="n"/>
      <c r="G976" s="4">
        <f>IFERROR(E976/F976,"")</f>
        <v/>
      </c>
    </row>
    <row r="977">
      <c r="A977" s="3" t="n"/>
      <c r="G977" s="4">
        <f>IFERROR(E977/F977,"")</f>
        <v/>
      </c>
    </row>
    <row r="978">
      <c r="A978" s="3" t="n"/>
      <c r="G978" s="4">
        <f>IFERROR(E978/F978,"")</f>
        <v/>
      </c>
    </row>
    <row r="979">
      <c r="A979" s="3" t="n"/>
      <c r="G979" s="4">
        <f>IFERROR(E979/F979,"")</f>
        <v/>
      </c>
    </row>
    <row r="980">
      <c r="A980" s="3" t="n"/>
      <c r="G980" s="4">
        <f>IFERROR(E980/F980,"")</f>
        <v/>
      </c>
    </row>
    <row r="981">
      <c r="A981" s="3" t="n"/>
      <c r="G981" s="4">
        <f>IFERROR(E981/F981,"")</f>
        <v/>
      </c>
    </row>
    <row r="982">
      <c r="A982" s="3" t="n"/>
      <c r="G982" s="4">
        <f>IFERROR(E982/F982,"")</f>
        <v/>
      </c>
    </row>
    <row r="983">
      <c r="A983" s="3" t="n"/>
      <c r="G983" s="4">
        <f>IFERROR(E983/F983,"")</f>
        <v/>
      </c>
    </row>
    <row r="984">
      <c r="A984" s="3" t="n"/>
      <c r="G984" s="4">
        <f>IFERROR(E984/F984,"")</f>
        <v/>
      </c>
    </row>
    <row r="985">
      <c r="A985" s="3" t="n"/>
      <c r="G985" s="4">
        <f>IFERROR(E985/F985,"")</f>
        <v/>
      </c>
    </row>
    <row r="986">
      <c r="A986" s="3" t="n"/>
      <c r="G986" s="4">
        <f>IFERROR(E986/F986,"")</f>
        <v/>
      </c>
    </row>
    <row r="987">
      <c r="A987" s="3" t="n"/>
      <c r="G987" s="4">
        <f>IFERROR(E987/F987,"")</f>
        <v/>
      </c>
    </row>
    <row r="988">
      <c r="A988" s="3" t="n"/>
      <c r="G988" s="4">
        <f>IFERROR(E988/F988,"")</f>
        <v/>
      </c>
    </row>
    <row r="989">
      <c r="A989" s="3" t="n"/>
      <c r="G989" s="4">
        <f>IFERROR(E989/F989,"")</f>
        <v/>
      </c>
    </row>
    <row r="990">
      <c r="A990" s="3" t="n"/>
      <c r="G990" s="4">
        <f>IFERROR(E990/F990,"")</f>
        <v/>
      </c>
    </row>
    <row r="991">
      <c r="A991" s="3" t="n"/>
      <c r="G991" s="4">
        <f>IFERROR(E991/F991,"")</f>
        <v/>
      </c>
    </row>
    <row r="992">
      <c r="A992" s="3" t="n"/>
      <c r="G992" s="4">
        <f>IFERROR(E992/F992,"")</f>
        <v/>
      </c>
    </row>
    <row r="993">
      <c r="A993" s="3" t="n"/>
      <c r="G993" s="4">
        <f>IFERROR(E993/F993,"")</f>
        <v/>
      </c>
    </row>
    <row r="994">
      <c r="A994" s="3" t="n"/>
      <c r="G994" s="4">
        <f>IFERROR(E994/F994,"")</f>
        <v/>
      </c>
    </row>
    <row r="995">
      <c r="A995" s="3" t="n"/>
      <c r="G995" s="4">
        <f>IFERROR(E995/F995,"")</f>
        <v/>
      </c>
    </row>
    <row r="996">
      <c r="A996" s="3" t="n"/>
      <c r="G996" s="4">
        <f>IFERROR(E996/F996,"")</f>
        <v/>
      </c>
    </row>
    <row r="997">
      <c r="A997" s="3" t="n"/>
      <c r="G997" s="4">
        <f>IFERROR(E997/F997,"")</f>
        <v/>
      </c>
    </row>
    <row r="998">
      <c r="A998" s="3" t="n"/>
      <c r="G998" s="4">
        <f>IFERROR(E998/F998,"")</f>
        <v/>
      </c>
    </row>
    <row r="999">
      <c r="A999" s="3" t="n"/>
      <c r="G999" s="4">
        <f>IFERROR(E999/F999,"")</f>
        <v/>
      </c>
    </row>
    <row r="1000">
      <c r="A1000" s="3" t="n"/>
      <c r="G1000" s="4">
        <f>IFERROR(E1000/F1000,"")</f>
        <v/>
      </c>
    </row>
    <row r="1001">
      <c r="A1001" s="3" t="n"/>
      <c r="G1001" s="4">
        <f>IFERROR(E1001/F1001,"")</f>
        <v/>
      </c>
    </row>
  </sheetData>
  <dataValidations count="3">
    <dataValidation sqref="B2:B1001" showDropDown="0" showInputMessage="0" showErrorMessage="0" allowBlank="1" type="list">
      <formula1>=Config!$A$2:$A$21</formula1>
    </dataValidation>
    <dataValidation sqref="C2:C1001" showDropDown="0" showInputMessage="0" showErrorMessage="0" allowBlank="1" type="list">
      <formula1>=Config!$C$2:$C$31</formula1>
    </dataValidation>
    <dataValidation sqref="D2:D1001" showDropDown="0" showInputMessage="0" showErrorMessage="0" allowBlank="1" type="list">
      <formula1>=Config!$F$2:$F$41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Member \ Subject</t>
        </is>
      </c>
      <c r="B1" s="1">
        <f>IFERROR(Config!C2,"")</f>
        <v/>
      </c>
      <c r="C1" s="1">
        <f>IFERROR(Config!C3,"")</f>
        <v/>
      </c>
      <c r="D1" s="1">
        <f>IFERROR(Config!C4,"")</f>
        <v/>
      </c>
      <c r="E1" s="1">
        <f>IFERROR(Config!C5,"")</f>
        <v/>
      </c>
      <c r="F1" s="1">
        <f>IFERROR(Config!C6,"")</f>
        <v/>
      </c>
      <c r="G1" s="1">
        <f>IFERROR(Config!C7,"")</f>
        <v/>
      </c>
      <c r="H1" s="1">
        <f>IFERROR(Config!C8,"")</f>
        <v/>
      </c>
      <c r="I1" s="1">
        <f>IFERROR(Config!C9,"")</f>
        <v/>
      </c>
      <c r="J1" s="1">
        <f>IFERROR(Config!C10,"")</f>
        <v/>
      </c>
      <c r="K1" s="1">
        <f>IFERROR(Config!C11,"")</f>
        <v/>
      </c>
      <c r="L1" s="1">
        <f>IFERROR(Config!C12,"")</f>
        <v/>
      </c>
      <c r="M1" s="1">
        <f>IFERROR(Config!C13,"")</f>
        <v/>
      </c>
      <c r="N1" s="1">
        <f>IFERROR(Config!C14,"")</f>
        <v/>
      </c>
      <c r="O1" s="1">
        <f>IFERROR(Config!C15,"")</f>
        <v/>
      </c>
      <c r="P1" s="1">
        <f>IFERROR(Config!C16,"")</f>
        <v/>
      </c>
      <c r="Q1" s="1">
        <f>IFERROR(Config!C17,"")</f>
        <v/>
      </c>
      <c r="R1" s="1">
        <f>IFERROR(Config!C18,"")</f>
        <v/>
      </c>
      <c r="S1" s="1">
        <f>IFERROR(Config!C19,"")</f>
        <v/>
      </c>
      <c r="T1" s="1">
        <f>IFERROR(Config!C20,"")</f>
        <v/>
      </c>
      <c r="U1" s="1">
        <f>IFERROR(Config!C21,"")</f>
        <v/>
      </c>
      <c r="V1" s="1">
        <f>IFERROR(Config!C22,"")</f>
        <v/>
      </c>
      <c r="W1" s="1">
        <f>IFERROR(Config!C23,"")</f>
        <v/>
      </c>
      <c r="X1" s="1">
        <f>IFERROR(Config!C24,"")</f>
        <v/>
      </c>
      <c r="Y1" s="1">
        <f>IFERROR(Config!C25,"")</f>
        <v/>
      </c>
      <c r="Z1" s="1">
        <f>IFERROR(Config!C26,"")</f>
        <v/>
      </c>
      <c r="AA1" s="1">
        <f>IFERROR(Config!C27,"")</f>
        <v/>
      </c>
      <c r="AB1" s="1">
        <f>IFERROR(Config!C28,"")</f>
        <v/>
      </c>
      <c r="AC1" s="1">
        <f>IFERROR(Config!C29,"")</f>
        <v/>
      </c>
      <c r="AD1" s="1">
        <f>IFERROR(Config!C30,"")</f>
        <v/>
      </c>
      <c r="AE1" s="1">
        <f>IFERROR(Config!C31,"")</f>
        <v/>
      </c>
      <c r="AF1" s="1" t="inlineStr">
        <is>
          <t>Overall %</t>
        </is>
      </c>
    </row>
    <row r="2">
      <c r="A2" s="5">
        <f>IFERROR(Config!A2,"")</f>
        <v/>
      </c>
      <c r="B2" s="4">
        <f>IF(OR($A2="",B$1=""),"",IFERROR(AVERAGEIFS(Scores!$G$2:$G$1001,Scores!$B$2:$B$1001,$A2,Scores!$C$2:$C$1001,B$1,Scores!$A$2:$A$1001,MAXIFS(Scores!$A$2:$A$1001,Scores!$B$2:$B$1001,$A2,Scores!$C$2:$C$1001,B$1)),""))</f>
        <v/>
      </c>
      <c r="C2" s="4">
        <f>IF(OR($A2="",C$1=""),"",IFERROR(AVERAGEIFS(Scores!$G$2:$G$1001,Scores!$B$2:$B$1001,$A2,Scores!$C$2:$C$1001,C$1,Scores!$A$2:$A$1001,MAXIFS(Scores!$A$2:$A$1001,Scores!$B$2:$B$1001,$A2,Scores!$C$2:$C$1001,C$1)),""))</f>
        <v/>
      </c>
      <c r="D2" s="4">
        <f>IF(OR($A2="",D$1=""),"",IFERROR(AVERAGEIFS(Scores!$G$2:$G$1001,Scores!$B$2:$B$1001,$A2,Scores!$C$2:$C$1001,D$1,Scores!$A$2:$A$1001,MAXIFS(Scores!$A$2:$A$1001,Scores!$B$2:$B$1001,$A2,Scores!$C$2:$C$1001,D$1)),""))</f>
        <v/>
      </c>
      <c r="E2" s="4">
        <f>IF(OR($A2="",E$1=""),"",IFERROR(AVERAGEIFS(Scores!$G$2:$G$1001,Scores!$B$2:$B$1001,$A2,Scores!$C$2:$C$1001,E$1,Scores!$A$2:$A$1001,MAXIFS(Scores!$A$2:$A$1001,Scores!$B$2:$B$1001,$A2,Scores!$C$2:$C$1001,E$1)),""))</f>
        <v/>
      </c>
      <c r="F2" s="4">
        <f>IF(OR($A2="",F$1=""),"",IFERROR(AVERAGEIFS(Scores!$G$2:$G$1001,Scores!$B$2:$B$1001,$A2,Scores!$C$2:$C$1001,F$1,Scores!$A$2:$A$1001,MAXIFS(Scores!$A$2:$A$1001,Scores!$B$2:$B$1001,$A2,Scores!$C$2:$C$1001,F$1)),""))</f>
        <v/>
      </c>
      <c r="G2" s="4">
        <f>IF(OR($A2="",G$1=""),"",IFERROR(AVERAGEIFS(Scores!$G$2:$G$1001,Scores!$B$2:$B$1001,$A2,Scores!$C$2:$C$1001,G$1,Scores!$A$2:$A$1001,MAXIFS(Scores!$A$2:$A$1001,Scores!$B$2:$B$1001,$A2,Scores!$C$2:$C$1001,G$1)),""))</f>
        <v/>
      </c>
      <c r="H2" s="4">
        <f>IF(OR($A2="",H$1=""),"",IFERROR(AVERAGEIFS(Scores!$G$2:$G$1001,Scores!$B$2:$B$1001,$A2,Scores!$C$2:$C$1001,H$1,Scores!$A$2:$A$1001,MAXIFS(Scores!$A$2:$A$1001,Scores!$B$2:$B$1001,$A2,Scores!$C$2:$C$1001,H$1)),""))</f>
        <v/>
      </c>
      <c r="I2" s="4">
        <f>IF(OR($A2="",I$1=""),"",IFERROR(AVERAGEIFS(Scores!$G$2:$G$1001,Scores!$B$2:$B$1001,$A2,Scores!$C$2:$C$1001,I$1,Scores!$A$2:$A$1001,MAXIFS(Scores!$A$2:$A$1001,Scores!$B$2:$B$1001,$A2,Scores!$C$2:$C$1001,I$1)),""))</f>
        <v/>
      </c>
      <c r="J2" s="4">
        <f>IF(OR($A2="",J$1=""),"",IFERROR(AVERAGEIFS(Scores!$G$2:$G$1001,Scores!$B$2:$B$1001,$A2,Scores!$C$2:$C$1001,J$1,Scores!$A$2:$A$1001,MAXIFS(Scores!$A$2:$A$1001,Scores!$B$2:$B$1001,$A2,Scores!$C$2:$C$1001,J$1)),""))</f>
        <v/>
      </c>
      <c r="K2" s="4">
        <f>IF(OR($A2="",K$1=""),"",IFERROR(AVERAGEIFS(Scores!$G$2:$G$1001,Scores!$B$2:$B$1001,$A2,Scores!$C$2:$C$1001,K$1,Scores!$A$2:$A$1001,MAXIFS(Scores!$A$2:$A$1001,Scores!$B$2:$B$1001,$A2,Scores!$C$2:$C$1001,K$1)),""))</f>
        <v/>
      </c>
      <c r="L2" s="4">
        <f>IF(OR($A2="",L$1=""),"",IFERROR(AVERAGEIFS(Scores!$G$2:$G$1001,Scores!$B$2:$B$1001,$A2,Scores!$C$2:$C$1001,L$1,Scores!$A$2:$A$1001,MAXIFS(Scores!$A$2:$A$1001,Scores!$B$2:$B$1001,$A2,Scores!$C$2:$C$1001,L$1)),""))</f>
        <v/>
      </c>
      <c r="M2" s="4">
        <f>IF(OR($A2="",M$1=""),"",IFERROR(AVERAGEIFS(Scores!$G$2:$G$1001,Scores!$B$2:$B$1001,$A2,Scores!$C$2:$C$1001,M$1,Scores!$A$2:$A$1001,MAXIFS(Scores!$A$2:$A$1001,Scores!$B$2:$B$1001,$A2,Scores!$C$2:$C$1001,M$1)),""))</f>
        <v/>
      </c>
      <c r="N2" s="4">
        <f>IF(OR($A2="",N$1=""),"",IFERROR(AVERAGEIFS(Scores!$G$2:$G$1001,Scores!$B$2:$B$1001,$A2,Scores!$C$2:$C$1001,N$1,Scores!$A$2:$A$1001,MAXIFS(Scores!$A$2:$A$1001,Scores!$B$2:$B$1001,$A2,Scores!$C$2:$C$1001,N$1)),""))</f>
        <v/>
      </c>
      <c r="O2" s="4">
        <f>IF(OR($A2="",O$1=""),"",IFERROR(AVERAGEIFS(Scores!$G$2:$G$1001,Scores!$B$2:$B$1001,$A2,Scores!$C$2:$C$1001,O$1,Scores!$A$2:$A$1001,MAXIFS(Scores!$A$2:$A$1001,Scores!$B$2:$B$1001,$A2,Scores!$C$2:$C$1001,O$1)),""))</f>
        <v/>
      </c>
      <c r="P2" s="4">
        <f>IF(OR($A2="",P$1=""),"",IFERROR(AVERAGEIFS(Scores!$G$2:$G$1001,Scores!$B$2:$B$1001,$A2,Scores!$C$2:$C$1001,P$1,Scores!$A$2:$A$1001,MAXIFS(Scores!$A$2:$A$1001,Scores!$B$2:$B$1001,$A2,Scores!$C$2:$C$1001,P$1)),""))</f>
        <v/>
      </c>
      <c r="Q2" s="4">
        <f>IF(OR($A2="",Q$1=""),"",IFERROR(AVERAGEIFS(Scores!$G$2:$G$1001,Scores!$B$2:$B$1001,$A2,Scores!$C$2:$C$1001,Q$1,Scores!$A$2:$A$1001,MAXIFS(Scores!$A$2:$A$1001,Scores!$B$2:$B$1001,$A2,Scores!$C$2:$C$1001,Q$1)),""))</f>
        <v/>
      </c>
      <c r="R2" s="4">
        <f>IF(OR($A2="",R$1=""),"",IFERROR(AVERAGEIFS(Scores!$G$2:$G$1001,Scores!$B$2:$B$1001,$A2,Scores!$C$2:$C$1001,R$1,Scores!$A$2:$A$1001,MAXIFS(Scores!$A$2:$A$1001,Scores!$B$2:$B$1001,$A2,Scores!$C$2:$C$1001,R$1)),""))</f>
        <v/>
      </c>
      <c r="S2" s="4">
        <f>IF(OR($A2="",S$1=""),"",IFERROR(AVERAGEIFS(Scores!$G$2:$G$1001,Scores!$B$2:$B$1001,$A2,Scores!$C$2:$C$1001,S$1,Scores!$A$2:$A$1001,MAXIFS(Scores!$A$2:$A$1001,Scores!$B$2:$B$1001,$A2,Scores!$C$2:$C$1001,S$1)),""))</f>
        <v/>
      </c>
      <c r="T2" s="4">
        <f>IF(OR($A2="",T$1=""),"",IFERROR(AVERAGEIFS(Scores!$G$2:$G$1001,Scores!$B$2:$B$1001,$A2,Scores!$C$2:$C$1001,T$1,Scores!$A$2:$A$1001,MAXIFS(Scores!$A$2:$A$1001,Scores!$B$2:$B$1001,$A2,Scores!$C$2:$C$1001,T$1)),""))</f>
        <v/>
      </c>
      <c r="U2" s="4">
        <f>IF(OR($A2="",U$1=""),"",IFERROR(AVERAGEIFS(Scores!$G$2:$G$1001,Scores!$B$2:$B$1001,$A2,Scores!$C$2:$C$1001,U$1,Scores!$A$2:$A$1001,MAXIFS(Scores!$A$2:$A$1001,Scores!$B$2:$B$1001,$A2,Scores!$C$2:$C$1001,U$1)),""))</f>
        <v/>
      </c>
      <c r="V2" s="4">
        <f>IF(OR($A2="",V$1=""),"",IFERROR(AVERAGEIFS(Scores!$G$2:$G$1001,Scores!$B$2:$B$1001,$A2,Scores!$C$2:$C$1001,V$1,Scores!$A$2:$A$1001,MAXIFS(Scores!$A$2:$A$1001,Scores!$B$2:$B$1001,$A2,Scores!$C$2:$C$1001,V$1)),""))</f>
        <v/>
      </c>
      <c r="W2" s="4">
        <f>IF(OR($A2="",W$1=""),"",IFERROR(AVERAGEIFS(Scores!$G$2:$G$1001,Scores!$B$2:$B$1001,$A2,Scores!$C$2:$C$1001,W$1,Scores!$A$2:$A$1001,MAXIFS(Scores!$A$2:$A$1001,Scores!$B$2:$B$1001,$A2,Scores!$C$2:$C$1001,W$1)),""))</f>
        <v/>
      </c>
      <c r="X2" s="4">
        <f>IF(OR($A2="",X$1=""),"",IFERROR(AVERAGEIFS(Scores!$G$2:$G$1001,Scores!$B$2:$B$1001,$A2,Scores!$C$2:$C$1001,X$1,Scores!$A$2:$A$1001,MAXIFS(Scores!$A$2:$A$1001,Scores!$B$2:$B$1001,$A2,Scores!$C$2:$C$1001,X$1)),""))</f>
        <v/>
      </c>
      <c r="Y2" s="4">
        <f>IF(OR($A2="",Y$1=""),"",IFERROR(AVERAGEIFS(Scores!$G$2:$G$1001,Scores!$B$2:$B$1001,$A2,Scores!$C$2:$C$1001,Y$1,Scores!$A$2:$A$1001,MAXIFS(Scores!$A$2:$A$1001,Scores!$B$2:$B$1001,$A2,Scores!$C$2:$C$1001,Y$1)),""))</f>
        <v/>
      </c>
      <c r="Z2" s="4">
        <f>IF(OR($A2="",Z$1=""),"",IFERROR(AVERAGEIFS(Scores!$G$2:$G$1001,Scores!$B$2:$B$1001,$A2,Scores!$C$2:$C$1001,Z$1,Scores!$A$2:$A$1001,MAXIFS(Scores!$A$2:$A$1001,Scores!$B$2:$B$1001,$A2,Scores!$C$2:$C$1001,Z$1)),""))</f>
        <v/>
      </c>
      <c r="AA2" s="4">
        <f>IF(OR($A2="",AA$1=""),"",IFERROR(AVERAGEIFS(Scores!$G$2:$G$1001,Scores!$B$2:$B$1001,$A2,Scores!$C$2:$C$1001,AA$1,Scores!$A$2:$A$1001,MAXIFS(Scores!$A$2:$A$1001,Scores!$B$2:$B$1001,$A2,Scores!$C$2:$C$1001,AA$1)),""))</f>
        <v/>
      </c>
      <c r="AB2" s="4">
        <f>IF(OR($A2="",AB$1=""),"",IFERROR(AVERAGEIFS(Scores!$G$2:$G$1001,Scores!$B$2:$B$1001,$A2,Scores!$C$2:$C$1001,AB$1,Scores!$A$2:$A$1001,MAXIFS(Scores!$A$2:$A$1001,Scores!$B$2:$B$1001,$A2,Scores!$C$2:$C$1001,AB$1)),""))</f>
        <v/>
      </c>
      <c r="AC2" s="4">
        <f>IF(OR($A2="",AC$1=""),"",IFERROR(AVERAGEIFS(Scores!$G$2:$G$1001,Scores!$B$2:$B$1001,$A2,Scores!$C$2:$C$1001,AC$1,Scores!$A$2:$A$1001,MAXIFS(Scores!$A$2:$A$1001,Scores!$B$2:$B$1001,$A2,Scores!$C$2:$C$1001,AC$1)),""))</f>
        <v/>
      </c>
      <c r="AD2" s="4">
        <f>IF(OR($A2="",AD$1=""),"",IFERROR(AVERAGEIFS(Scores!$G$2:$G$1001,Scores!$B$2:$B$1001,$A2,Scores!$C$2:$C$1001,AD$1,Scores!$A$2:$A$1001,MAXIFS(Scores!$A$2:$A$1001,Scores!$B$2:$B$1001,$A2,Scores!$C$2:$C$1001,AD$1)),""))</f>
        <v/>
      </c>
      <c r="AE2" s="4">
        <f>IF(OR($A2="",AE$1=""),"",IFERROR(AVERAGEIFS(Scores!$G$2:$G$1001,Scores!$B$2:$B$1001,$A2,Scores!$C$2:$C$1001,AE$1,Scores!$A$2:$A$1001,MAXIFS(Scores!$A$2:$A$1001,Scores!$B$2:$B$1001,$A2,Scores!$C$2:$C$1001,AE$1)),""))</f>
        <v/>
      </c>
      <c r="AF2" s="6">
        <f>IF($A2="","",IFERROR(AVERAGE(B2:AE2),""))</f>
        <v/>
      </c>
    </row>
    <row r="3">
      <c r="A3" s="5">
        <f>IFERROR(Config!A3,"")</f>
        <v/>
      </c>
      <c r="B3" s="4">
        <f>IF(OR($A3="",B$1=""),"",IFERROR(AVERAGEIFS(Scores!$G$2:$G$1001,Scores!$B$2:$B$1001,$A3,Scores!$C$2:$C$1001,B$1,Scores!$A$2:$A$1001,MAXIFS(Scores!$A$2:$A$1001,Scores!$B$2:$B$1001,$A3,Scores!$C$2:$C$1001,B$1)),""))</f>
        <v/>
      </c>
      <c r="C3" s="4">
        <f>IF(OR($A3="",C$1=""),"",IFERROR(AVERAGEIFS(Scores!$G$2:$G$1001,Scores!$B$2:$B$1001,$A3,Scores!$C$2:$C$1001,C$1,Scores!$A$2:$A$1001,MAXIFS(Scores!$A$2:$A$1001,Scores!$B$2:$B$1001,$A3,Scores!$C$2:$C$1001,C$1)),""))</f>
        <v/>
      </c>
      <c r="D3" s="4">
        <f>IF(OR($A3="",D$1=""),"",IFERROR(AVERAGEIFS(Scores!$G$2:$G$1001,Scores!$B$2:$B$1001,$A3,Scores!$C$2:$C$1001,D$1,Scores!$A$2:$A$1001,MAXIFS(Scores!$A$2:$A$1001,Scores!$B$2:$B$1001,$A3,Scores!$C$2:$C$1001,D$1)),""))</f>
        <v/>
      </c>
      <c r="E3" s="4">
        <f>IF(OR($A3="",E$1=""),"",IFERROR(AVERAGEIFS(Scores!$G$2:$G$1001,Scores!$B$2:$B$1001,$A3,Scores!$C$2:$C$1001,E$1,Scores!$A$2:$A$1001,MAXIFS(Scores!$A$2:$A$1001,Scores!$B$2:$B$1001,$A3,Scores!$C$2:$C$1001,E$1)),""))</f>
        <v/>
      </c>
      <c r="F3" s="4">
        <f>IF(OR($A3="",F$1=""),"",IFERROR(AVERAGEIFS(Scores!$G$2:$G$1001,Scores!$B$2:$B$1001,$A3,Scores!$C$2:$C$1001,F$1,Scores!$A$2:$A$1001,MAXIFS(Scores!$A$2:$A$1001,Scores!$B$2:$B$1001,$A3,Scores!$C$2:$C$1001,F$1)),""))</f>
        <v/>
      </c>
      <c r="G3" s="4">
        <f>IF(OR($A3="",G$1=""),"",IFERROR(AVERAGEIFS(Scores!$G$2:$G$1001,Scores!$B$2:$B$1001,$A3,Scores!$C$2:$C$1001,G$1,Scores!$A$2:$A$1001,MAXIFS(Scores!$A$2:$A$1001,Scores!$B$2:$B$1001,$A3,Scores!$C$2:$C$1001,G$1)),""))</f>
        <v/>
      </c>
      <c r="H3" s="4">
        <f>IF(OR($A3="",H$1=""),"",IFERROR(AVERAGEIFS(Scores!$G$2:$G$1001,Scores!$B$2:$B$1001,$A3,Scores!$C$2:$C$1001,H$1,Scores!$A$2:$A$1001,MAXIFS(Scores!$A$2:$A$1001,Scores!$B$2:$B$1001,$A3,Scores!$C$2:$C$1001,H$1)),""))</f>
        <v/>
      </c>
      <c r="I3" s="4">
        <f>IF(OR($A3="",I$1=""),"",IFERROR(AVERAGEIFS(Scores!$G$2:$G$1001,Scores!$B$2:$B$1001,$A3,Scores!$C$2:$C$1001,I$1,Scores!$A$2:$A$1001,MAXIFS(Scores!$A$2:$A$1001,Scores!$B$2:$B$1001,$A3,Scores!$C$2:$C$1001,I$1)),""))</f>
        <v/>
      </c>
      <c r="J3" s="4">
        <f>IF(OR($A3="",J$1=""),"",IFERROR(AVERAGEIFS(Scores!$G$2:$G$1001,Scores!$B$2:$B$1001,$A3,Scores!$C$2:$C$1001,J$1,Scores!$A$2:$A$1001,MAXIFS(Scores!$A$2:$A$1001,Scores!$B$2:$B$1001,$A3,Scores!$C$2:$C$1001,J$1)),""))</f>
        <v/>
      </c>
      <c r="K3" s="4">
        <f>IF(OR($A3="",K$1=""),"",IFERROR(AVERAGEIFS(Scores!$G$2:$G$1001,Scores!$B$2:$B$1001,$A3,Scores!$C$2:$C$1001,K$1,Scores!$A$2:$A$1001,MAXIFS(Scores!$A$2:$A$1001,Scores!$B$2:$B$1001,$A3,Scores!$C$2:$C$1001,K$1)),""))</f>
        <v/>
      </c>
      <c r="L3" s="4">
        <f>IF(OR($A3="",L$1=""),"",IFERROR(AVERAGEIFS(Scores!$G$2:$G$1001,Scores!$B$2:$B$1001,$A3,Scores!$C$2:$C$1001,L$1,Scores!$A$2:$A$1001,MAXIFS(Scores!$A$2:$A$1001,Scores!$B$2:$B$1001,$A3,Scores!$C$2:$C$1001,L$1)),""))</f>
        <v/>
      </c>
      <c r="M3" s="4">
        <f>IF(OR($A3="",M$1=""),"",IFERROR(AVERAGEIFS(Scores!$G$2:$G$1001,Scores!$B$2:$B$1001,$A3,Scores!$C$2:$C$1001,M$1,Scores!$A$2:$A$1001,MAXIFS(Scores!$A$2:$A$1001,Scores!$B$2:$B$1001,$A3,Scores!$C$2:$C$1001,M$1)),""))</f>
        <v/>
      </c>
      <c r="N3" s="4">
        <f>IF(OR($A3="",N$1=""),"",IFERROR(AVERAGEIFS(Scores!$G$2:$G$1001,Scores!$B$2:$B$1001,$A3,Scores!$C$2:$C$1001,N$1,Scores!$A$2:$A$1001,MAXIFS(Scores!$A$2:$A$1001,Scores!$B$2:$B$1001,$A3,Scores!$C$2:$C$1001,N$1)),""))</f>
        <v/>
      </c>
      <c r="O3" s="4">
        <f>IF(OR($A3="",O$1=""),"",IFERROR(AVERAGEIFS(Scores!$G$2:$G$1001,Scores!$B$2:$B$1001,$A3,Scores!$C$2:$C$1001,O$1,Scores!$A$2:$A$1001,MAXIFS(Scores!$A$2:$A$1001,Scores!$B$2:$B$1001,$A3,Scores!$C$2:$C$1001,O$1)),""))</f>
        <v/>
      </c>
      <c r="P3" s="4">
        <f>IF(OR($A3="",P$1=""),"",IFERROR(AVERAGEIFS(Scores!$G$2:$G$1001,Scores!$B$2:$B$1001,$A3,Scores!$C$2:$C$1001,P$1,Scores!$A$2:$A$1001,MAXIFS(Scores!$A$2:$A$1001,Scores!$B$2:$B$1001,$A3,Scores!$C$2:$C$1001,P$1)),""))</f>
        <v/>
      </c>
      <c r="Q3" s="4">
        <f>IF(OR($A3="",Q$1=""),"",IFERROR(AVERAGEIFS(Scores!$G$2:$G$1001,Scores!$B$2:$B$1001,$A3,Scores!$C$2:$C$1001,Q$1,Scores!$A$2:$A$1001,MAXIFS(Scores!$A$2:$A$1001,Scores!$B$2:$B$1001,$A3,Scores!$C$2:$C$1001,Q$1)),""))</f>
        <v/>
      </c>
      <c r="R3" s="4">
        <f>IF(OR($A3="",R$1=""),"",IFERROR(AVERAGEIFS(Scores!$G$2:$G$1001,Scores!$B$2:$B$1001,$A3,Scores!$C$2:$C$1001,R$1,Scores!$A$2:$A$1001,MAXIFS(Scores!$A$2:$A$1001,Scores!$B$2:$B$1001,$A3,Scores!$C$2:$C$1001,R$1)),""))</f>
        <v/>
      </c>
      <c r="S3" s="4">
        <f>IF(OR($A3="",S$1=""),"",IFERROR(AVERAGEIFS(Scores!$G$2:$G$1001,Scores!$B$2:$B$1001,$A3,Scores!$C$2:$C$1001,S$1,Scores!$A$2:$A$1001,MAXIFS(Scores!$A$2:$A$1001,Scores!$B$2:$B$1001,$A3,Scores!$C$2:$C$1001,S$1)),""))</f>
        <v/>
      </c>
      <c r="T3" s="4">
        <f>IF(OR($A3="",T$1=""),"",IFERROR(AVERAGEIFS(Scores!$G$2:$G$1001,Scores!$B$2:$B$1001,$A3,Scores!$C$2:$C$1001,T$1,Scores!$A$2:$A$1001,MAXIFS(Scores!$A$2:$A$1001,Scores!$B$2:$B$1001,$A3,Scores!$C$2:$C$1001,T$1)),""))</f>
        <v/>
      </c>
      <c r="U3" s="4">
        <f>IF(OR($A3="",U$1=""),"",IFERROR(AVERAGEIFS(Scores!$G$2:$G$1001,Scores!$B$2:$B$1001,$A3,Scores!$C$2:$C$1001,U$1,Scores!$A$2:$A$1001,MAXIFS(Scores!$A$2:$A$1001,Scores!$B$2:$B$1001,$A3,Scores!$C$2:$C$1001,U$1)),""))</f>
        <v/>
      </c>
      <c r="V3" s="4">
        <f>IF(OR($A3="",V$1=""),"",IFERROR(AVERAGEIFS(Scores!$G$2:$G$1001,Scores!$B$2:$B$1001,$A3,Scores!$C$2:$C$1001,V$1,Scores!$A$2:$A$1001,MAXIFS(Scores!$A$2:$A$1001,Scores!$B$2:$B$1001,$A3,Scores!$C$2:$C$1001,V$1)),""))</f>
        <v/>
      </c>
      <c r="W3" s="4">
        <f>IF(OR($A3="",W$1=""),"",IFERROR(AVERAGEIFS(Scores!$G$2:$G$1001,Scores!$B$2:$B$1001,$A3,Scores!$C$2:$C$1001,W$1,Scores!$A$2:$A$1001,MAXIFS(Scores!$A$2:$A$1001,Scores!$B$2:$B$1001,$A3,Scores!$C$2:$C$1001,W$1)),""))</f>
        <v/>
      </c>
      <c r="X3" s="4">
        <f>IF(OR($A3="",X$1=""),"",IFERROR(AVERAGEIFS(Scores!$G$2:$G$1001,Scores!$B$2:$B$1001,$A3,Scores!$C$2:$C$1001,X$1,Scores!$A$2:$A$1001,MAXIFS(Scores!$A$2:$A$1001,Scores!$B$2:$B$1001,$A3,Scores!$C$2:$C$1001,X$1)),""))</f>
        <v/>
      </c>
      <c r="Y3" s="4">
        <f>IF(OR($A3="",Y$1=""),"",IFERROR(AVERAGEIFS(Scores!$G$2:$G$1001,Scores!$B$2:$B$1001,$A3,Scores!$C$2:$C$1001,Y$1,Scores!$A$2:$A$1001,MAXIFS(Scores!$A$2:$A$1001,Scores!$B$2:$B$1001,$A3,Scores!$C$2:$C$1001,Y$1)),""))</f>
        <v/>
      </c>
      <c r="Z3" s="4">
        <f>IF(OR($A3="",Z$1=""),"",IFERROR(AVERAGEIFS(Scores!$G$2:$G$1001,Scores!$B$2:$B$1001,$A3,Scores!$C$2:$C$1001,Z$1,Scores!$A$2:$A$1001,MAXIFS(Scores!$A$2:$A$1001,Scores!$B$2:$B$1001,$A3,Scores!$C$2:$C$1001,Z$1)),""))</f>
        <v/>
      </c>
      <c r="AA3" s="4">
        <f>IF(OR($A3="",AA$1=""),"",IFERROR(AVERAGEIFS(Scores!$G$2:$G$1001,Scores!$B$2:$B$1001,$A3,Scores!$C$2:$C$1001,AA$1,Scores!$A$2:$A$1001,MAXIFS(Scores!$A$2:$A$1001,Scores!$B$2:$B$1001,$A3,Scores!$C$2:$C$1001,AA$1)),""))</f>
        <v/>
      </c>
      <c r="AB3" s="4">
        <f>IF(OR($A3="",AB$1=""),"",IFERROR(AVERAGEIFS(Scores!$G$2:$G$1001,Scores!$B$2:$B$1001,$A3,Scores!$C$2:$C$1001,AB$1,Scores!$A$2:$A$1001,MAXIFS(Scores!$A$2:$A$1001,Scores!$B$2:$B$1001,$A3,Scores!$C$2:$C$1001,AB$1)),""))</f>
        <v/>
      </c>
      <c r="AC3" s="4">
        <f>IF(OR($A3="",AC$1=""),"",IFERROR(AVERAGEIFS(Scores!$G$2:$G$1001,Scores!$B$2:$B$1001,$A3,Scores!$C$2:$C$1001,AC$1,Scores!$A$2:$A$1001,MAXIFS(Scores!$A$2:$A$1001,Scores!$B$2:$B$1001,$A3,Scores!$C$2:$C$1001,AC$1)),""))</f>
        <v/>
      </c>
      <c r="AD3" s="4">
        <f>IF(OR($A3="",AD$1=""),"",IFERROR(AVERAGEIFS(Scores!$G$2:$G$1001,Scores!$B$2:$B$1001,$A3,Scores!$C$2:$C$1001,AD$1,Scores!$A$2:$A$1001,MAXIFS(Scores!$A$2:$A$1001,Scores!$B$2:$B$1001,$A3,Scores!$C$2:$C$1001,AD$1)),""))</f>
        <v/>
      </c>
      <c r="AE3" s="4">
        <f>IF(OR($A3="",AE$1=""),"",IFERROR(AVERAGEIFS(Scores!$G$2:$G$1001,Scores!$B$2:$B$1001,$A3,Scores!$C$2:$C$1001,AE$1,Scores!$A$2:$A$1001,MAXIFS(Scores!$A$2:$A$1001,Scores!$B$2:$B$1001,$A3,Scores!$C$2:$C$1001,AE$1)),""))</f>
        <v/>
      </c>
      <c r="AF3" s="6">
        <f>IF($A3="","",IFERROR(AVERAGE(B3:AE3),""))</f>
        <v/>
      </c>
    </row>
    <row r="4">
      <c r="A4" s="5">
        <f>IFERROR(Config!A4,"")</f>
        <v/>
      </c>
      <c r="B4" s="4">
        <f>IF(OR($A4="",B$1=""),"",IFERROR(AVERAGEIFS(Scores!$G$2:$G$1001,Scores!$B$2:$B$1001,$A4,Scores!$C$2:$C$1001,B$1,Scores!$A$2:$A$1001,MAXIFS(Scores!$A$2:$A$1001,Scores!$B$2:$B$1001,$A4,Scores!$C$2:$C$1001,B$1)),""))</f>
        <v/>
      </c>
      <c r="C4" s="4">
        <f>IF(OR($A4="",C$1=""),"",IFERROR(AVERAGEIFS(Scores!$G$2:$G$1001,Scores!$B$2:$B$1001,$A4,Scores!$C$2:$C$1001,C$1,Scores!$A$2:$A$1001,MAXIFS(Scores!$A$2:$A$1001,Scores!$B$2:$B$1001,$A4,Scores!$C$2:$C$1001,C$1)),""))</f>
        <v/>
      </c>
      <c r="D4" s="4">
        <f>IF(OR($A4="",D$1=""),"",IFERROR(AVERAGEIFS(Scores!$G$2:$G$1001,Scores!$B$2:$B$1001,$A4,Scores!$C$2:$C$1001,D$1,Scores!$A$2:$A$1001,MAXIFS(Scores!$A$2:$A$1001,Scores!$B$2:$B$1001,$A4,Scores!$C$2:$C$1001,D$1)),""))</f>
        <v/>
      </c>
      <c r="E4" s="4">
        <f>IF(OR($A4="",E$1=""),"",IFERROR(AVERAGEIFS(Scores!$G$2:$G$1001,Scores!$B$2:$B$1001,$A4,Scores!$C$2:$C$1001,E$1,Scores!$A$2:$A$1001,MAXIFS(Scores!$A$2:$A$1001,Scores!$B$2:$B$1001,$A4,Scores!$C$2:$C$1001,E$1)),""))</f>
        <v/>
      </c>
      <c r="F4" s="4">
        <f>IF(OR($A4="",F$1=""),"",IFERROR(AVERAGEIFS(Scores!$G$2:$G$1001,Scores!$B$2:$B$1001,$A4,Scores!$C$2:$C$1001,F$1,Scores!$A$2:$A$1001,MAXIFS(Scores!$A$2:$A$1001,Scores!$B$2:$B$1001,$A4,Scores!$C$2:$C$1001,F$1)),""))</f>
        <v/>
      </c>
      <c r="G4" s="4">
        <f>IF(OR($A4="",G$1=""),"",IFERROR(AVERAGEIFS(Scores!$G$2:$G$1001,Scores!$B$2:$B$1001,$A4,Scores!$C$2:$C$1001,G$1,Scores!$A$2:$A$1001,MAXIFS(Scores!$A$2:$A$1001,Scores!$B$2:$B$1001,$A4,Scores!$C$2:$C$1001,G$1)),""))</f>
        <v/>
      </c>
      <c r="H4" s="4">
        <f>IF(OR($A4="",H$1=""),"",IFERROR(AVERAGEIFS(Scores!$G$2:$G$1001,Scores!$B$2:$B$1001,$A4,Scores!$C$2:$C$1001,H$1,Scores!$A$2:$A$1001,MAXIFS(Scores!$A$2:$A$1001,Scores!$B$2:$B$1001,$A4,Scores!$C$2:$C$1001,H$1)),""))</f>
        <v/>
      </c>
      <c r="I4" s="4">
        <f>IF(OR($A4="",I$1=""),"",IFERROR(AVERAGEIFS(Scores!$G$2:$G$1001,Scores!$B$2:$B$1001,$A4,Scores!$C$2:$C$1001,I$1,Scores!$A$2:$A$1001,MAXIFS(Scores!$A$2:$A$1001,Scores!$B$2:$B$1001,$A4,Scores!$C$2:$C$1001,I$1)),""))</f>
        <v/>
      </c>
      <c r="J4" s="4">
        <f>IF(OR($A4="",J$1=""),"",IFERROR(AVERAGEIFS(Scores!$G$2:$G$1001,Scores!$B$2:$B$1001,$A4,Scores!$C$2:$C$1001,J$1,Scores!$A$2:$A$1001,MAXIFS(Scores!$A$2:$A$1001,Scores!$B$2:$B$1001,$A4,Scores!$C$2:$C$1001,J$1)),""))</f>
        <v/>
      </c>
      <c r="K4" s="4">
        <f>IF(OR($A4="",K$1=""),"",IFERROR(AVERAGEIFS(Scores!$G$2:$G$1001,Scores!$B$2:$B$1001,$A4,Scores!$C$2:$C$1001,K$1,Scores!$A$2:$A$1001,MAXIFS(Scores!$A$2:$A$1001,Scores!$B$2:$B$1001,$A4,Scores!$C$2:$C$1001,K$1)),""))</f>
        <v/>
      </c>
      <c r="L4" s="4">
        <f>IF(OR($A4="",L$1=""),"",IFERROR(AVERAGEIFS(Scores!$G$2:$G$1001,Scores!$B$2:$B$1001,$A4,Scores!$C$2:$C$1001,L$1,Scores!$A$2:$A$1001,MAXIFS(Scores!$A$2:$A$1001,Scores!$B$2:$B$1001,$A4,Scores!$C$2:$C$1001,L$1)),""))</f>
        <v/>
      </c>
      <c r="M4" s="4">
        <f>IF(OR($A4="",M$1=""),"",IFERROR(AVERAGEIFS(Scores!$G$2:$G$1001,Scores!$B$2:$B$1001,$A4,Scores!$C$2:$C$1001,M$1,Scores!$A$2:$A$1001,MAXIFS(Scores!$A$2:$A$1001,Scores!$B$2:$B$1001,$A4,Scores!$C$2:$C$1001,M$1)),""))</f>
        <v/>
      </c>
      <c r="N4" s="4">
        <f>IF(OR($A4="",N$1=""),"",IFERROR(AVERAGEIFS(Scores!$G$2:$G$1001,Scores!$B$2:$B$1001,$A4,Scores!$C$2:$C$1001,N$1,Scores!$A$2:$A$1001,MAXIFS(Scores!$A$2:$A$1001,Scores!$B$2:$B$1001,$A4,Scores!$C$2:$C$1001,N$1)),""))</f>
        <v/>
      </c>
      <c r="O4" s="4">
        <f>IF(OR($A4="",O$1=""),"",IFERROR(AVERAGEIFS(Scores!$G$2:$G$1001,Scores!$B$2:$B$1001,$A4,Scores!$C$2:$C$1001,O$1,Scores!$A$2:$A$1001,MAXIFS(Scores!$A$2:$A$1001,Scores!$B$2:$B$1001,$A4,Scores!$C$2:$C$1001,O$1)),""))</f>
        <v/>
      </c>
      <c r="P4" s="4">
        <f>IF(OR($A4="",P$1=""),"",IFERROR(AVERAGEIFS(Scores!$G$2:$G$1001,Scores!$B$2:$B$1001,$A4,Scores!$C$2:$C$1001,P$1,Scores!$A$2:$A$1001,MAXIFS(Scores!$A$2:$A$1001,Scores!$B$2:$B$1001,$A4,Scores!$C$2:$C$1001,P$1)),""))</f>
        <v/>
      </c>
      <c r="Q4" s="4">
        <f>IF(OR($A4="",Q$1=""),"",IFERROR(AVERAGEIFS(Scores!$G$2:$G$1001,Scores!$B$2:$B$1001,$A4,Scores!$C$2:$C$1001,Q$1,Scores!$A$2:$A$1001,MAXIFS(Scores!$A$2:$A$1001,Scores!$B$2:$B$1001,$A4,Scores!$C$2:$C$1001,Q$1)),""))</f>
        <v/>
      </c>
      <c r="R4" s="4">
        <f>IF(OR($A4="",R$1=""),"",IFERROR(AVERAGEIFS(Scores!$G$2:$G$1001,Scores!$B$2:$B$1001,$A4,Scores!$C$2:$C$1001,R$1,Scores!$A$2:$A$1001,MAXIFS(Scores!$A$2:$A$1001,Scores!$B$2:$B$1001,$A4,Scores!$C$2:$C$1001,R$1)),""))</f>
        <v/>
      </c>
      <c r="S4" s="4">
        <f>IF(OR($A4="",S$1=""),"",IFERROR(AVERAGEIFS(Scores!$G$2:$G$1001,Scores!$B$2:$B$1001,$A4,Scores!$C$2:$C$1001,S$1,Scores!$A$2:$A$1001,MAXIFS(Scores!$A$2:$A$1001,Scores!$B$2:$B$1001,$A4,Scores!$C$2:$C$1001,S$1)),""))</f>
        <v/>
      </c>
      <c r="T4" s="4">
        <f>IF(OR($A4="",T$1=""),"",IFERROR(AVERAGEIFS(Scores!$G$2:$G$1001,Scores!$B$2:$B$1001,$A4,Scores!$C$2:$C$1001,T$1,Scores!$A$2:$A$1001,MAXIFS(Scores!$A$2:$A$1001,Scores!$B$2:$B$1001,$A4,Scores!$C$2:$C$1001,T$1)),""))</f>
        <v/>
      </c>
      <c r="U4" s="4">
        <f>IF(OR($A4="",U$1=""),"",IFERROR(AVERAGEIFS(Scores!$G$2:$G$1001,Scores!$B$2:$B$1001,$A4,Scores!$C$2:$C$1001,U$1,Scores!$A$2:$A$1001,MAXIFS(Scores!$A$2:$A$1001,Scores!$B$2:$B$1001,$A4,Scores!$C$2:$C$1001,U$1)),""))</f>
        <v/>
      </c>
      <c r="V4" s="4">
        <f>IF(OR($A4="",V$1=""),"",IFERROR(AVERAGEIFS(Scores!$G$2:$G$1001,Scores!$B$2:$B$1001,$A4,Scores!$C$2:$C$1001,V$1,Scores!$A$2:$A$1001,MAXIFS(Scores!$A$2:$A$1001,Scores!$B$2:$B$1001,$A4,Scores!$C$2:$C$1001,V$1)),""))</f>
        <v/>
      </c>
      <c r="W4" s="4">
        <f>IF(OR($A4="",W$1=""),"",IFERROR(AVERAGEIFS(Scores!$G$2:$G$1001,Scores!$B$2:$B$1001,$A4,Scores!$C$2:$C$1001,W$1,Scores!$A$2:$A$1001,MAXIFS(Scores!$A$2:$A$1001,Scores!$B$2:$B$1001,$A4,Scores!$C$2:$C$1001,W$1)),""))</f>
        <v/>
      </c>
      <c r="X4" s="4">
        <f>IF(OR($A4="",X$1=""),"",IFERROR(AVERAGEIFS(Scores!$G$2:$G$1001,Scores!$B$2:$B$1001,$A4,Scores!$C$2:$C$1001,X$1,Scores!$A$2:$A$1001,MAXIFS(Scores!$A$2:$A$1001,Scores!$B$2:$B$1001,$A4,Scores!$C$2:$C$1001,X$1)),""))</f>
        <v/>
      </c>
      <c r="Y4" s="4">
        <f>IF(OR($A4="",Y$1=""),"",IFERROR(AVERAGEIFS(Scores!$G$2:$G$1001,Scores!$B$2:$B$1001,$A4,Scores!$C$2:$C$1001,Y$1,Scores!$A$2:$A$1001,MAXIFS(Scores!$A$2:$A$1001,Scores!$B$2:$B$1001,$A4,Scores!$C$2:$C$1001,Y$1)),""))</f>
        <v/>
      </c>
      <c r="Z4" s="4">
        <f>IF(OR($A4="",Z$1=""),"",IFERROR(AVERAGEIFS(Scores!$G$2:$G$1001,Scores!$B$2:$B$1001,$A4,Scores!$C$2:$C$1001,Z$1,Scores!$A$2:$A$1001,MAXIFS(Scores!$A$2:$A$1001,Scores!$B$2:$B$1001,$A4,Scores!$C$2:$C$1001,Z$1)),""))</f>
        <v/>
      </c>
      <c r="AA4" s="4">
        <f>IF(OR($A4="",AA$1=""),"",IFERROR(AVERAGEIFS(Scores!$G$2:$G$1001,Scores!$B$2:$B$1001,$A4,Scores!$C$2:$C$1001,AA$1,Scores!$A$2:$A$1001,MAXIFS(Scores!$A$2:$A$1001,Scores!$B$2:$B$1001,$A4,Scores!$C$2:$C$1001,AA$1)),""))</f>
        <v/>
      </c>
      <c r="AB4" s="4">
        <f>IF(OR($A4="",AB$1=""),"",IFERROR(AVERAGEIFS(Scores!$G$2:$G$1001,Scores!$B$2:$B$1001,$A4,Scores!$C$2:$C$1001,AB$1,Scores!$A$2:$A$1001,MAXIFS(Scores!$A$2:$A$1001,Scores!$B$2:$B$1001,$A4,Scores!$C$2:$C$1001,AB$1)),""))</f>
        <v/>
      </c>
      <c r="AC4" s="4">
        <f>IF(OR($A4="",AC$1=""),"",IFERROR(AVERAGEIFS(Scores!$G$2:$G$1001,Scores!$B$2:$B$1001,$A4,Scores!$C$2:$C$1001,AC$1,Scores!$A$2:$A$1001,MAXIFS(Scores!$A$2:$A$1001,Scores!$B$2:$B$1001,$A4,Scores!$C$2:$C$1001,AC$1)),""))</f>
        <v/>
      </c>
      <c r="AD4" s="4">
        <f>IF(OR($A4="",AD$1=""),"",IFERROR(AVERAGEIFS(Scores!$G$2:$G$1001,Scores!$B$2:$B$1001,$A4,Scores!$C$2:$C$1001,AD$1,Scores!$A$2:$A$1001,MAXIFS(Scores!$A$2:$A$1001,Scores!$B$2:$B$1001,$A4,Scores!$C$2:$C$1001,AD$1)),""))</f>
        <v/>
      </c>
      <c r="AE4" s="4">
        <f>IF(OR($A4="",AE$1=""),"",IFERROR(AVERAGEIFS(Scores!$G$2:$G$1001,Scores!$B$2:$B$1001,$A4,Scores!$C$2:$C$1001,AE$1,Scores!$A$2:$A$1001,MAXIFS(Scores!$A$2:$A$1001,Scores!$B$2:$B$1001,$A4,Scores!$C$2:$C$1001,AE$1)),""))</f>
        <v/>
      </c>
      <c r="AF4" s="6">
        <f>IF($A4="","",IFERROR(AVERAGE(B4:AE4),""))</f>
        <v/>
      </c>
    </row>
    <row r="5">
      <c r="A5" s="5">
        <f>IFERROR(Config!A5,"")</f>
        <v/>
      </c>
      <c r="B5" s="4">
        <f>IF(OR($A5="",B$1=""),"",IFERROR(AVERAGEIFS(Scores!$G$2:$G$1001,Scores!$B$2:$B$1001,$A5,Scores!$C$2:$C$1001,B$1,Scores!$A$2:$A$1001,MAXIFS(Scores!$A$2:$A$1001,Scores!$B$2:$B$1001,$A5,Scores!$C$2:$C$1001,B$1)),""))</f>
        <v/>
      </c>
      <c r="C5" s="4">
        <f>IF(OR($A5="",C$1=""),"",IFERROR(AVERAGEIFS(Scores!$G$2:$G$1001,Scores!$B$2:$B$1001,$A5,Scores!$C$2:$C$1001,C$1,Scores!$A$2:$A$1001,MAXIFS(Scores!$A$2:$A$1001,Scores!$B$2:$B$1001,$A5,Scores!$C$2:$C$1001,C$1)),""))</f>
        <v/>
      </c>
      <c r="D5" s="4">
        <f>IF(OR($A5="",D$1=""),"",IFERROR(AVERAGEIFS(Scores!$G$2:$G$1001,Scores!$B$2:$B$1001,$A5,Scores!$C$2:$C$1001,D$1,Scores!$A$2:$A$1001,MAXIFS(Scores!$A$2:$A$1001,Scores!$B$2:$B$1001,$A5,Scores!$C$2:$C$1001,D$1)),""))</f>
        <v/>
      </c>
      <c r="E5" s="4">
        <f>IF(OR($A5="",E$1=""),"",IFERROR(AVERAGEIFS(Scores!$G$2:$G$1001,Scores!$B$2:$B$1001,$A5,Scores!$C$2:$C$1001,E$1,Scores!$A$2:$A$1001,MAXIFS(Scores!$A$2:$A$1001,Scores!$B$2:$B$1001,$A5,Scores!$C$2:$C$1001,E$1)),""))</f>
        <v/>
      </c>
      <c r="F5" s="4">
        <f>IF(OR($A5="",F$1=""),"",IFERROR(AVERAGEIFS(Scores!$G$2:$G$1001,Scores!$B$2:$B$1001,$A5,Scores!$C$2:$C$1001,F$1,Scores!$A$2:$A$1001,MAXIFS(Scores!$A$2:$A$1001,Scores!$B$2:$B$1001,$A5,Scores!$C$2:$C$1001,F$1)),""))</f>
        <v/>
      </c>
      <c r="G5" s="4">
        <f>IF(OR($A5="",G$1=""),"",IFERROR(AVERAGEIFS(Scores!$G$2:$G$1001,Scores!$B$2:$B$1001,$A5,Scores!$C$2:$C$1001,G$1,Scores!$A$2:$A$1001,MAXIFS(Scores!$A$2:$A$1001,Scores!$B$2:$B$1001,$A5,Scores!$C$2:$C$1001,G$1)),""))</f>
        <v/>
      </c>
      <c r="H5" s="4">
        <f>IF(OR($A5="",H$1=""),"",IFERROR(AVERAGEIFS(Scores!$G$2:$G$1001,Scores!$B$2:$B$1001,$A5,Scores!$C$2:$C$1001,H$1,Scores!$A$2:$A$1001,MAXIFS(Scores!$A$2:$A$1001,Scores!$B$2:$B$1001,$A5,Scores!$C$2:$C$1001,H$1)),""))</f>
        <v/>
      </c>
      <c r="I5" s="4">
        <f>IF(OR($A5="",I$1=""),"",IFERROR(AVERAGEIFS(Scores!$G$2:$G$1001,Scores!$B$2:$B$1001,$A5,Scores!$C$2:$C$1001,I$1,Scores!$A$2:$A$1001,MAXIFS(Scores!$A$2:$A$1001,Scores!$B$2:$B$1001,$A5,Scores!$C$2:$C$1001,I$1)),""))</f>
        <v/>
      </c>
      <c r="J5" s="4">
        <f>IF(OR($A5="",J$1=""),"",IFERROR(AVERAGEIFS(Scores!$G$2:$G$1001,Scores!$B$2:$B$1001,$A5,Scores!$C$2:$C$1001,J$1,Scores!$A$2:$A$1001,MAXIFS(Scores!$A$2:$A$1001,Scores!$B$2:$B$1001,$A5,Scores!$C$2:$C$1001,J$1)),""))</f>
        <v/>
      </c>
      <c r="K5" s="4">
        <f>IF(OR($A5="",K$1=""),"",IFERROR(AVERAGEIFS(Scores!$G$2:$G$1001,Scores!$B$2:$B$1001,$A5,Scores!$C$2:$C$1001,K$1,Scores!$A$2:$A$1001,MAXIFS(Scores!$A$2:$A$1001,Scores!$B$2:$B$1001,$A5,Scores!$C$2:$C$1001,K$1)),""))</f>
        <v/>
      </c>
      <c r="L5" s="4">
        <f>IF(OR($A5="",L$1=""),"",IFERROR(AVERAGEIFS(Scores!$G$2:$G$1001,Scores!$B$2:$B$1001,$A5,Scores!$C$2:$C$1001,L$1,Scores!$A$2:$A$1001,MAXIFS(Scores!$A$2:$A$1001,Scores!$B$2:$B$1001,$A5,Scores!$C$2:$C$1001,L$1)),""))</f>
        <v/>
      </c>
      <c r="M5" s="4">
        <f>IF(OR($A5="",M$1=""),"",IFERROR(AVERAGEIFS(Scores!$G$2:$G$1001,Scores!$B$2:$B$1001,$A5,Scores!$C$2:$C$1001,M$1,Scores!$A$2:$A$1001,MAXIFS(Scores!$A$2:$A$1001,Scores!$B$2:$B$1001,$A5,Scores!$C$2:$C$1001,M$1)),""))</f>
        <v/>
      </c>
      <c r="N5" s="4">
        <f>IF(OR($A5="",N$1=""),"",IFERROR(AVERAGEIFS(Scores!$G$2:$G$1001,Scores!$B$2:$B$1001,$A5,Scores!$C$2:$C$1001,N$1,Scores!$A$2:$A$1001,MAXIFS(Scores!$A$2:$A$1001,Scores!$B$2:$B$1001,$A5,Scores!$C$2:$C$1001,N$1)),""))</f>
        <v/>
      </c>
      <c r="O5" s="4">
        <f>IF(OR($A5="",O$1=""),"",IFERROR(AVERAGEIFS(Scores!$G$2:$G$1001,Scores!$B$2:$B$1001,$A5,Scores!$C$2:$C$1001,O$1,Scores!$A$2:$A$1001,MAXIFS(Scores!$A$2:$A$1001,Scores!$B$2:$B$1001,$A5,Scores!$C$2:$C$1001,O$1)),""))</f>
        <v/>
      </c>
      <c r="P5" s="4">
        <f>IF(OR($A5="",P$1=""),"",IFERROR(AVERAGEIFS(Scores!$G$2:$G$1001,Scores!$B$2:$B$1001,$A5,Scores!$C$2:$C$1001,P$1,Scores!$A$2:$A$1001,MAXIFS(Scores!$A$2:$A$1001,Scores!$B$2:$B$1001,$A5,Scores!$C$2:$C$1001,P$1)),""))</f>
        <v/>
      </c>
      <c r="Q5" s="4">
        <f>IF(OR($A5="",Q$1=""),"",IFERROR(AVERAGEIFS(Scores!$G$2:$G$1001,Scores!$B$2:$B$1001,$A5,Scores!$C$2:$C$1001,Q$1,Scores!$A$2:$A$1001,MAXIFS(Scores!$A$2:$A$1001,Scores!$B$2:$B$1001,$A5,Scores!$C$2:$C$1001,Q$1)),""))</f>
        <v/>
      </c>
      <c r="R5" s="4">
        <f>IF(OR($A5="",R$1=""),"",IFERROR(AVERAGEIFS(Scores!$G$2:$G$1001,Scores!$B$2:$B$1001,$A5,Scores!$C$2:$C$1001,R$1,Scores!$A$2:$A$1001,MAXIFS(Scores!$A$2:$A$1001,Scores!$B$2:$B$1001,$A5,Scores!$C$2:$C$1001,R$1)),""))</f>
        <v/>
      </c>
      <c r="S5" s="4">
        <f>IF(OR($A5="",S$1=""),"",IFERROR(AVERAGEIFS(Scores!$G$2:$G$1001,Scores!$B$2:$B$1001,$A5,Scores!$C$2:$C$1001,S$1,Scores!$A$2:$A$1001,MAXIFS(Scores!$A$2:$A$1001,Scores!$B$2:$B$1001,$A5,Scores!$C$2:$C$1001,S$1)),""))</f>
        <v/>
      </c>
      <c r="T5" s="4">
        <f>IF(OR($A5="",T$1=""),"",IFERROR(AVERAGEIFS(Scores!$G$2:$G$1001,Scores!$B$2:$B$1001,$A5,Scores!$C$2:$C$1001,T$1,Scores!$A$2:$A$1001,MAXIFS(Scores!$A$2:$A$1001,Scores!$B$2:$B$1001,$A5,Scores!$C$2:$C$1001,T$1)),""))</f>
        <v/>
      </c>
      <c r="U5" s="4">
        <f>IF(OR($A5="",U$1=""),"",IFERROR(AVERAGEIFS(Scores!$G$2:$G$1001,Scores!$B$2:$B$1001,$A5,Scores!$C$2:$C$1001,U$1,Scores!$A$2:$A$1001,MAXIFS(Scores!$A$2:$A$1001,Scores!$B$2:$B$1001,$A5,Scores!$C$2:$C$1001,U$1)),""))</f>
        <v/>
      </c>
      <c r="V5" s="4">
        <f>IF(OR($A5="",V$1=""),"",IFERROR(AVERAGEIFS(Scores!$G$2:$G$1001,Scores!$B$2:$B$1001,$A5,Scores!$C$2:$C$1001,V$1,Scores!$A$2:$A$1001,MAXIFS(Scores!$A$2:$A$1001,Scores!$B$2:$B$1001,$A5,Scores!$C$2:$C$1001,V$1)),""))</f>
        <v/>
      </c>
      <c r="W5" s="4">
        <f>IF(OR($A5="",W$1=""),"",IFERROR(AVERAGEIFS(Scores!$G$2:$G$1001,Scores!$B$2:$B$1001,$A5,Scores!$C$2:$C$1001,W$1,Scores!$A$2:$A$1001,MAXIFS(Scores!$A$2:$A$1001,Scores!$B$2:$B$1001,$A5,Scores!$C$2:$C$1001,W$1)),""))</f>
        <v/>
      </c>
      <c r="X5" s="4">
        <f>IF(OR($A5="",X$1=""),"",IFERROR(AVERAGEIFS(Scores!$G$2:$G$1001,Scores!$B$2:$B$1001,$A5,Scores!$C$2:$C$1001,X$1,Scores!$A$2:$A$1001,MAXIFS(Scores!$A$2:$A$1001,Scores!$B$2:$B$1001,$A5,Scores!$C$2:$C$1001,X$1)),""))</f>
        <v/>
      </c>
      <c r="Y5" s="4">
        <f>IF(OR($A5="",Y$1=""),"",IFERROR(AVERAGEIFS(Scores!$G$2:$G$1001,Scores!$B$2:$B$1001,$A5,Scores!$C$2:$C$1001,Y$1,Scores!$A$2:$A$1001,MAXIFS(Scores!$A$2:$A$1001,Scores!$B$2:$B$1001,$A5,Scores!$C$2:$C$1001,Y$1)),""))</f>
        <v/>
      </c>
      <c r="Z5" s="4">
        <f>IF(OR($A5="",Z$1=""),"",IFERROR(AVERAGEIFS(Scores!$G$2:$G$1001,Scores!$B$2:$B$1001,$A5,Scores!$C$2:$C$1001,Z$1,Scores!$A$2:$A$1001,MAXIFS(Scores!$A$2:$A$1001,Scores!$B$2:$B$1001,$A5,Scores!$C$2:$C$1001,Z$1)),""))</f>
        <v/>
      </c>
      <c r="AA5" s="4">
        <f>IF(OR($A5="",AA$1=""),"",IFERROR(AVERAGEIFS(Scores!$G$2:$G$1001,Scores!$B$2:$B$1001,$A5,Scores!$C$2:$C$1001,AA$1,Scores!$A$2:$A$1001,MAXIFS(Scores!$A$2:$A$1001,Scores!$B$2:$B$1001,$A5,Scores!$C$2:$C$1001,AA$1)),""))</f>
        <v/>
      </c>
      <c r="AB5" s="4">
        <f>IF(OR($A5="",AB$1=""),"",IFERROR(AVERAGEIFS(Scores!$G$2:$G$1001,Scores!$B$2:$B$1001,$A5,Scores!$C$2:$C$1001,AB$1,Scores!$A$2:$A$1001,MAXIFS(Scores!$A$2:$A$1001,Scores!$B$2:$B$1001,$A5,Scores!$C$2:$C$1001,AB$1)),""))</f>
        <v/>
      </c>
      <c r="AC5" s="4">
        <f>IF(OR($A5="",AC$1=""),"",IFERROR(AVERAGEIFS(Scores!$G$2:$G$1001,Scores!$B$2:$B$1001,$A5,Scores!$C$2:$C$1001,AC$1,Scores!$A$2:$A$1001,MAXIFS(Scores!$A$2:$A$1001,Scores!$B$2:$B$1001,$A5,Scores!$C$2:$C$1001,AC$1)),""))</f>
        <v/>
      </c>
      <c r="AD5" s="4">
        <f>IF(OR($A5="",AD$1=""),"",IFERROR(AVERAGEIFS(Scores!$G$2:$G$1001,Scores!$B$2:$B$1001,$A5,Scores!$C$2:$C$1001,AD$1,Scores!$A$2:$A$1001,MAXIFS(Scores!$A$2:$A$1001,Scores!$B$2:$B$1001,$A5,Scores!$C$2:$C$1001,AD$1)),""))</f>
        <v/>
      </c>
      <c r="AE5" s="4">
        <f>IF(OR($A5="",AE$1=""),"",IFERROR(AVERAGEIFS(Scores!$G$2:$G$1001,Scores!$B$2:$B$1001,$A5,Scores!$C$2:$C$1001,AE$1,Scores!$A$2:$A$1001,MAXIFS(Scores!$A$2:$A$1001,Scores!$B$2:$B$1001,$A5,Scores!$C$2:$C$1001,AE$1)),""))</f>
        <v/>
      </c>
      <c r="AF5" s="6">
        <f>IF($A5="","",IFERROR(AVERAGE(B5:AE5),""))</f>
        <v/>
      </c>
    </row>
    <row r="6">
      <c r="A6" s="5">
        <f>IFERROR(Config!A6,"")</f>
        <v/>
      </c>
      <c r="B6" s="4">
        <f>IF(OR($A6="",B$1=""),"",IFERROR(AVERAGEIFS(Scores!$G$2:$G$1001,Scores!$B$2:$B$1001,$A6,Scores!$C$2:$C$1001,B$1,Scores!$A$2:$A$1001,MAXIFS(Scores!$A$2:$A$1001,Scores!$B$2:$B$1001,$A6,Scores!$C$2:$C$1001,B$1)),""))</f>
        <v/>
      </c>
      <c r="C6" s="4">
        <f>IF(OR($A6="",C$1=""),"",IFERROR(AVERAGEIFS(Scores!$G$2:$G$1001,Scores!$B$2:$B$1001,$A6,Scores!$C$2:$C$1001,C$1,Scores!$A$2:$A$1001,MAXIFS(Scores!$A$2:$A$1001,Scores!$B$2:$B$1001,$A6,Scores!$C$2:$C$1001,C$1)),""))</f>
        <v/>
      </c>
      <c r="D6" s="4">
        <f>IF(OR($A6="",D$1=""),"",IFERROR(AVERAGEIFS(Scores!$G$2:$G$1001,Scores!$B$2:$B$1001,$A6,Scores!$C$2:$C$1001,D$1,Scores!$A$2:$A$1001,MAXIFS(Scores!$A$2:$A$1001,Scores!$B$2:$B$1001,$A6,Scores!$C$2:$C$1001,D$1)),""))</f>
        <v/>
      </c>
      <c r="E6" s="4">
        <f>IF(OR($A6="",E$1=""),"",IFERROR(AVERAGEIFS(Scores!$G$2:$G$1001,Scores!$B$2:$B$1001,$A6,Scores!$C$2:$C$1001,E$1,Scores!$A$2:$A$1001,MAXIFS(Scores!$A$2:$A$1001,Scores!$B$2:$B$1001,$A6,Scores!$C$2:$C$1001,E$1)),""))</f>
        <v/>
      </c>
      <c r="F6" s="4">
        <f>IF(OR($A6="",F$1=""),"",IFERROR(AVERAGEIFS(Scores!$G$2:$G$1001,Scores!$B$2:$B$1001,$A6,Scores!$C$2:$C$1001,F$1,Scores!$A$2:$A$1001,MAXIFS(Scores!$A$2:$A$1001,Scores!$B$2:$B$1001,$A6,Scores!$C$2:$C$1001,F$1)),""))</f>
        <v/>
      </c>
      <c r="G6" s="4">
        <f>IF(OR($A6="",G$1=""),"",IFERROR(AVERAGEIFS(Scores!$G$2:$G$1001,Scores!$B$2:$B$1001,$A6,Scores!$C$2:$C$1001,G$1,Scores!$A$2:$A$1001,MAXIFS(Scores!$A$2:$A$1001,Scores!$B$2:$B$1001,$A6,Scores!$C$2:$C$1001,G$1)),""))</f>
        <v/>
      </c>
      <c r="H6" s="4">
        <f>IF(OR($A6="",H$1=""),"",IFERROR(AVERAGEIFS(Scores!$G$2:$G$1001,Scores!$B$2:$B$1001,$A6,Scores!$C$2:$C$1001,H$1,Scores!$A$2:$A$1001,MAXIFS(Scores!$A$2:$A$1001,Scores!$B$2:$B$1001,$A6,Scores!$C$2:$C$1001,H$1)),""))</f>
        <v/>
      </c>
      <c r="I6" s="4">
        <f>IF(OR($A6="",I$1=""),"",IFERROR(AVERAGEIFS(Scores!$G$2:$G$1001,Scores!$B$2:$B$1001,$A6,Scores!$C$2:$C$1001,I$1,Scores!$A$2:$A$1001,MAXIFS(Scores!$A$2:$A$1001,Scores!$B$2:$B$1001,$A6,Scores!$C$2:$C$1001,I$1)),""))</f>
        <v/>
      </c>
      <c r="J6" s="4">
        <f>IF(OR($A6="",J$1=""),"",IFERROR(AVERAGEIFS(Scores!$G$2:$G$1001,Scores!$B$2:$B$1001,$A6,Scores!$C$2:$C$1001,J$1,Scores!$A$2:$A$1001,MAXIFS(Scores!$A$2:$A$1001,Scores!$B$2:$B$1001,$A6,Scores!$C$2:$C$1001,J$1)),""))</f>
        <v/>
      </c>
      <c r="K6" s="4">
        <f>IF(OR($A6="",K$1=""),"",IFERROR(AVERAGEIFS(Scores!$G$2:$G$1001,Scores!$B$2:$B$1001,$A6,Scores!$C$2:$C$1001,K$1,Scores!$A$2:$A$1001,MAXIFS(Scores!$A$2:$A$1001,Scores!$B$2:$B$1001,$A6,Scores!$C$2:$C$1001,K$1)),""))</f>
        <v/>
      </c>
      <c r="L6" s="4">
        <f>IF(OR($A6="",L$1=""),"",IFERROR(AVERAGEIFS(Scores!$G$2:$G$1001,Scores!$B$2:$B$1001,$A6,Scores!$C$2:$C$1001,L$1,Scores!$A$2:$A$1001,MAXIFS(Scores!$A$2:$A$1001,Scores!$B$2:$B$1001,$A6,Scores!$C$2:$C$1001,L$1)),""))</f>
        <v/>
      </c>
      <c r="M6" s="4">
        <f>IF(OR($A6="",M$1=""),"",IFERROR(AVERAGEIFS(Scores!$G$2:$G$1001,Scores!$B$2:$B$1001,$A6,Scores!$C$2:$C$1001,M$1,Scores!$A$2:$A$1001,MAXIFS(Scores!$A$2:$A$1001,Scores!$B$2:$B$1001,$A6,Scores!$C$2:$C$1001,M$1)),""))</f>
        <v/>
      </c>
      <c r="N6" s="4">
        <f>IF(OR($A6="",N$1=""),"",IFERROR(AVERAGEIFS(Scores!$G$2:$G$1001,Scores!$B$2:$B$1001,$A6,Scores!$C$2:$C$1001,N$1,Scores!$A$2:$A$1001,MAXIFS(Scores!$A$2:$A$1001,Scores!$B$2:$B$1001,$A6,Scores!$C$2:$C$1001,N$1)),""))</f>
        <v/>
      </c>
      <c r="O6" s="4">
        <f>IF(OR($A6="",O$1=""),"",IFERROR(AVERAGEIFS(Scores!$G$2:$G$1001,Scores!$B$2:$B$1001,$A6,Scores!$C$2:$C$1001,O$1,Scores!$A$2:$A$1001,MAXIFS(Scores!$A$2:$A$1001,Scores!$B$2:$B$1001,$A6,Scores!$C$2:$C$1001,O$1)),""))</f>
        <v/>
      </c>
      <c r="P6" s="4">
        <f>IF(OR($A6="",P$1=""),"",IFERROR(AVERAGEIFS(Scores!$G$2:$G$1001,Scores!$B$2:$B$1001,$A6,Scores!$C$2:$C$1001,P$1,Scores!$A$2:$A$1001,MAXIFS(Scores!$A$2:$A$1001,Scores!$B$2:$B$1001,$A6,Scores!$C$2:$C$1001,P$1)),""))</f>
        <v/>
      </c>
      <c r="Q6" s="4">
        <f>IF(OR($A6="",Q$1=""),"",IFERROR(AVERAGEIFS(Scores!$G$2:$G$1001,Scores!$B$2:$B$1001,$A6,Scores!$C$2:$C$1001,Q$1,Scores!$A$2:$A$1001,MAXIFS(Scores!$A$2:$A$1001,Scores!$B$2:$B$1001,$A6,Scores!$C$2:$C$1001,Q$1)),""))</f>
        <v/>
      </c>
      <c r="R6" s="4">
        <f>IF(OR($A6="",R$1=""),"",IFERROR(AVERAGEIFS(Scores!$G$2:$G$1001,Scores!$B$2:$B$1001,$A6,Scores!$C$2:$C$1001,R$1,Scores!$A$2:$A$1001,MAXIFS(Scores!$A$2:$A$1001,Scores!$B$2:$B$1001,$A6,Scores!$C$2:$C$1001,R$1)),""))</f>
        <v/>
      </c>
      <c r="S6" s="4">
        <f>IF(OR($A6="",S$1=""),"",IFERROR(AVERAGEIFS(Scores!$G$2:$G$1001,Scores!$B$2:$B$1001,$A6,Scores!$C$2:$C$1001,S$1,Scores!$A$2:$A$1001,MAXIFS(Scores!$A$2:$A$1001,Scores!$B$2:$B$1001,$A6,Scores!$C$2:$C$1001,S$1)),""))</f>
        <v/>
      </c>
      <c r="T6" s="4">
        <f>IF(OR($A6="",T$1=""),"",IFERROR(AVERAGEIFS(Scores!$G$2:$G$1001,Scores!$B$2:$B$1001,$A6,Scores!$C$2:$C$1001,T$1,Scores!$A$2:$A$1001,MAXIFS(Scores!$A$2:$A$1001,Scores!$B$2:$B$1001,$A6,Scores!$C$2:$C$1001,T$1)),""))</f>
        <v/>
      </c>
      <c r="U6" s="4">
        <f>IF(OR($A6="",U$1=""),"",IFERROR(AVERAGEIFS(Scores!$G$2:$G$1001,Scores!$B$2:$B$1001,$A6,Scores!$C$2:$C$1001,U$1,Scores!$A$2:$A$1001,MAXIFS(Scores!$A$2:$A$1001,Scores!$B$2:$B$1001,$A6,Scores!$C$2:$C$1001,U$1)),""))</f>
        <v/>
      </c>
      <c r="V6" s="4">
        <f>IF(OR($A6="",V$1=""),"",IFERROR(AVERAGEIFS(Scores!$G$2:$G$1001,Scores!$B$2:$B$1001,$A6,Scores!$C$2:$C$1001,V$1,Scores!$A$2:$A$1001,MAXIFS(Scores!$A$2:$A$1001,Scores!$B$2:$B$1001,$A6,Scores!$C$2:$C$1001,V$1)),""))</f>
        <v/>
      </c>
      <c r="W6" s="4">
        <f>IF(OR($A6="",W$1=""),"",IFERROR(AVERAGEIFS(Scores!$G$2:$G$1001,Scores!$B$2:$B$1001,$A6,Scores!$C$2:$C$1001,W$1,Scores!$A$2:$A$1001,MAXIFS(Scores!$A$2:$A$1001,Scores!$B$2:$B$1001,$A6,Scores!$C$2:$C$1001,W$1)),""))</f>
        <v/>
      </c>
      <c r="X6" s="4">
        <f>IF(OR($A6="",X$1=""),"",IFERROR(AVERAGEIFS(Scores!$G$2:$G$1001,Scores!$B$2:$B$1001,$A6,Scores!$C$2:$C$1001,X$1,Scores!$A$2:$A$1001,MAXIFS(Scores!$A$2:$A$1001,Scores!$B$2:$B$1001,$A6,Scores!$C$2:$C$1001,X$1)),""))</f>
        <v/>
      </c>
      <c r="Y6" s="4">
        <f>IF(OR($A6="",Y$1=""),"",IFERROR(AVERAGEIFS(Scores!$G$2:$G$1001,Scores!$B$2:$B$1001,$A6,Scores!$C$2:$C$1001,Y$1,Scores!$A$2:$A$1001,MAXIFS(Scores!$A$2:$A$1001,Scores!$B$2:$B$1001,$A6,Scores!$C$2:$C$1001,Y$1)),""))</f>
        <v/>
      </c>
      <c r="Z6" s="4">
        <f>IF(OR($A6="",Z$1=""),"",IFERROR(AVERAGEIFS(Scores!$G$2:$G$1001,Scores!$B$2:$B$1001,$A6,Scores!$C$2:$C$1001,Z$1,Scores!$A$2:$A$1001,MAXIFS(Scores!$A$2:$A$1001,Scores!$B$2:$B$1001,$A6,Scores!$C$2:$C$1001,Z$1)),""))</f>
        <v/>
      </c>
      <c r="AA6" s="4">
        <f>IF(OR($A6="",AA$1=""),"",IFERROR(AVERAGEIFS(Scores!$G$2:$G$1001,Scores!$B$2:$B$1001,$A6,Scores!$C$2:$C$1001,AA$1,Scores!$A$2:$A$1001,MAXIFS(Scores!$A$2:$A$1001,Scores!$B$2:$B$1001,$A6,Scores!$C$2:$C$1001,AA$1)),""))</f>
        <v/>
      </c>
      <c r="AB6" s="4">
        <f>IF(OR($A6="",AB$1=""),"",IFERROR(AVERAGEIFS(Scores!$G$2:$G$1001,Scores!$B$2:$B$1001,$A6,Scores!$C$2:$C$1001,AB$1,Scores!$A$2:$A$1001,MAXIFS(Scores!$A$2:$A$1001,Scores!$B$2:$B$1001,$A6,Scores!$C$2:$C$1001,AB$1)),""))</f>
        <v/>
      </c>
      <c r="AC6" s="4">
        <f>IF(OR($A6="",AC$1=""),"",IFERROR(AVERAGEIFS(Scores!$G$2:$G$1001,Scores!$B$2:$B$1001,$A6,Scores!$C$2:$C$1001,AC$1,Scores!$A$2:$A$1001,MAXIFS(Scores!$A$2:$A$1001,Scores!$B$2:$B$1001,$A6,Scores!$C$2:$C$1001,AC$1)),""))</f>
        <v/>
      </c>
      <c r="AD6" s="4">
        <f>IF(OR($A6="",AD$1=""),"",IFERROR(AVERAGEIFS(Scores!$G$2:$G$1001,Scores!$B$2:$B$1001,$A6,Scores!$C$2:$C$1001,AD$1,Scores!$A$2:$A$1001,MAXIFS(Scores!$A$2:$A$1001,Scores!$B$2:$B$1001,$A6,Scores!$C$2:$C$1001,AD$1)),""))</f>
        <v/>
      </c>
      <c r="AE6" s="4">
        <f>IF(OR($A6="",AE$1=""),"",IFERROR(AVERAGEIFS(Scores!$G$2:$G$1001,Scores!$B$2:$B$1001,$A6,Scores!$C$2:$C$1001,AE$1,Scores!$A$2:$A$1001,MAXIFS(Scores!$A$2:$A$1001,Scores!$B$2:$B$1001,$A6,Scores!$C$2:$C$1001,AE$1)),""))</f>
        <v/>
      </c>
      <c r="AF6" s="6">
        <f>IF($A6="","",IFERROR(AVERAGE(B6:AE6),""))</f>
        <v/>
      </c>
    </row>
    <row r="7">
      <c r="A7" s="5">
        <f>IFERROR(Config!A7,"")</f>
        <v/>
      </c>
      <c r="B7" s="4">
        <f>IF(OR($A7="",B$1=""),"",IFERROR(AVERAGEIFS(Scores!$G$2:$G$1001,Scores!$B$2:$B$1001,$A7,Scores!$C$2:$C$1001,B$1,Scores!$A$2:$A$1001,MAXIFS(Scores!$A$2:$A$1001,Scores!$B$2:$B$1001,$A7,Scores!$C$2:$C$1001,B$1)),""))</f>
        <v/>
      </c>
      <c r="C7" s="4">
        <f>IF(OR($A7="",C$1=""),"",IFERROR(AVERAGEIFS(Scores!$G$2:$G$1001,Scores!$B$2:$B$1001,$A7,Scores!$C$2:$C$1001,C$1,Scores!$A$2:$A$1001,MAXIFS(Scores!$A$2:$A$1001,Scores!$B$2:$B$1001,$A7,Scores!$C$2:$C$1001,C$1)),""))</f>
        <v/>
      </c>
      <c r="D7" s="4">
        <f>IF(OR($A7="",D$1=""),"",IFERROR(AVERAGEIFS(Scores!$G$2:$G$1001,Scores!$B$2:$B$1001,$A7,Scores!$C$2:$C$1001,D$1,Scores!$A$2:$A$1001,MAXIFS(Scores!$A$2:$A$1001,Scores!$B$2:$B$1001,$A7,Scores!$C$2:$C$1001,D$1)),""))</f>
        <v/>
      </c>
      <c r="E7" s="4">
        <f>IF(OR($A7="",E$1=""),"",IFERROR(AVERAGEIFS(Scores!$G$2:$G$1001,Scores!$B$2:$B$1001,$A7,Scores!$C$2:$C$1001,E$1,Scores!$A$2:$A$1001,MAXIFS(Scores!$A$2:$A$1001,Scores!$B$2:$B$1001,$A7,Scores!$C$2:$C$1001,E$1)),""))</f>
        <v/>
      </c>
      <c r="F7" s="4">
        <f>IF(OR($A7="",F$1=""),"",IFERROR(AVERAGEIFS(Scores!$G$2:$G$1001,Scores!$B$2:$B$1001,$A7,Scores!$C$2:$C$1001,F$1,Scores!$A$2:$A$1001,MAXIFS(Scores!$A$2:$A$1001,Scores!$B$2:$B$1001,$A7,Scores!$C$2:$C$1001,F$1)),""))</f>
        <v/>
      </c>
      <c r="G7" s="4">
        <f>IF(OR($A7="",G$1=""),"",IFERROR(AVERAGEIFS(Scores!$G$2:$G$1001,Scores!$B$2:$B$1001,$A7,Scores!$C$2:$C$1001,G$1,Scores!$A$2:$A$1001,MAXIFS(Scores!$A$2:$A$1001,Scores!$B$2:$B$1001,$A7,Scores!$C$2:$C$1001,G$1)),""))</f>
        <v/>
      </c>
      <c r="H7" s="4">
        <f>IF(OR($A7="",H$1=""),"",IFERROR(AVERAGEIFS(Scores!$G$2:$G$1001,Scores!$B$2:$B$1001,$A7,Scores!$C$2:$C$1001,H$1,Scores!$A$2:$A$1001,MAXIFS(Scores!$A$2:$A$1001,Scores!$B$2:$B$1001,$A7,Scores!$C$2:$C$1001,H$1)),""))</f>
        <v/>
      </c>
      <c r="I7" s="4">
        <f>IF(OR($A7="",I$1=""),"",IFERROR(AVERAGEIFS(Scores!$G$2:$G$1001,Scores!$B$2:$B$1001,$A7,Scores!$C$2:$C$1001,I$1,Scores!$A$2:$A$1001,MAXIFS(Scores!$A$2:$A$1001,Scores!$B$2:$B$1001,$A7,Scores!$C$2:$C$1001,I$1)),""))</f>
        <v/>
      </c>
      <c r="J7" s="4">
        <f>IF(OR($A7="",J$1=""),"",IFERROR(AVERAGEIFS(Scores!$G$2:$G$1001,Scores!$B$2:$B$1001,$A7,Scores!$C$2:$C$1001,J$1,Scores!$A$2:$A$1001,MAXIFS(Scores!$A$2:$A$1001,Scores!$B$2:$B$1001,$A7,Scores!$C$2:$C$1001,J$1)),""))</f>
        <v/>
      </c>
      <c r="K7" s="4">
        <f>IF(OR($A7="",K$1=""),"",IFERROR(AVERAGEIFS(Scores!$G$2:$G$1001,Scores!$B$2:$B$1001,$A7,Scores!$C$2:$C$1001,K$1,Scores!$A$2:$A$1001,MAXIFS(Scores!$A$2:$A$1001,Scores!$B$2:$B$1001,$A7,Scores!$C$2:$C$1001,K$1)),""))</f>
        <v/>
      </c>
      <c r="L7" s="4">
        <f>IF(OR($A7="",L$1=""),"",IFERROR(AVERAGEIFS(Scores!$G$2:$G$1001,Scores!$B$2:$B$1001,$A7,Scores!$C$2:$C$1001,L$1,Scores!$A$2:$A$1001,MAXIFS(Scores!$A$2:$A$1001,Scores!$B$2:$B$1001,$A7,Scores!$C$2:$C$1001,L$1)),""))</f>
        <v/>
      </c>
      <c r="M7" s="4">
        <f>IF(OR($A7="",M$1=""),"",IFERROR(AVERAGEIFS(Scores!$G$2:$G$1001,Scores!$B$2:$B$1001,$A7,Scores!$C$2:$C$1001,M$1,Scores!$A$2:$A$1001,MAXIFS(Scores!$A$2:$A$1001,Scores!$B$2:$B$1001,$A7,Scores!$C$2:$C$1001,M$1)),""))</f>
        <v/>
      </c>
      <c r="N7" s="4">
        <f>IF(OR($A7="",N$1=""),"",IFERROR(AVERAGEIFS(Scores!$G$2:$G$1001,Scores!$B$2:$B$1001,$A7,Scores!$C$2:$C$1001,N$1,Scores!$A$2:$A$1001,MAXIFS(Scores!$A$2:$A$1001,Scores!$B$2:$B$1001,$A7,Scores!$C$2:$C$1001,N$1)),""))</f>
        <v/>
      </c>
      <c r="O7" s="4">
        <f>IF(OR($A7="",O$1=""),"",IFERROR(AVERAGEIFS(Scores!$G$2:$G$1001,Scores!$B$2:$B$1001,$A7,Scores!$C$2:$C$1001,O$1,Scores!$A$2:$A$1001,MAXIFS(Scores!$A$2:$A$1001,Scores!$B$2:$B$1001,$A7,Scores!$C$2:$C$1001,O$1)),""))</f>
        <v/>
      </c>
      <c r="P7" s="4">
        <f>IF(OR($A7="",P$1=""),"",IFERROR(AVERAGEIFS(Scores!$G$2:$G$1001,Scores!$B$2:$B$1001,$A7,Scores!$C$2:$C$1001,P$1,Scores!$A$2:$A$1001,MAXIFS(Scores!$A$2:$A$1001,Scores!$B$2:$B$1001,$A7,Scores!$C$2:$C$1001,P$1)),""))</f>
        <v/>
      </c>
      <c r="Q7" s="4">
        <f>IF(OR($A7="",Q$1=""),"",IFERROR(AVERAGEIFS(Scores!$G$2:$G$1001,Scores!$B$2:$B$1001,$A7,Scores!$C$2:$C$1001,Q$1,Scores!$A$2:$A$1001,MAXIFS(Scores!$A$2:$A$1001,Scores!$B$2:$B$1001,$A7,Scores!$C$2:$C$1001,Q$1)),""))</f>
        <v/>
      </c>
      <c r="R7" s="4">
        <f>IF(OR($A7="",R$1=""),"",IFERROR(AVERAGEIFS(Scores!$G$2:$G$1001,Scores!$B$2:$B$1001,$A7,Scores!$C$2:$C$1001,R$1,Scores!$A$2:$A$1001,MAXIFS(Scores!$A$2:$A$1001,Scores!$B$2:$B$1001,$A7,Scores!$C$2:$C$1001,R$1)),""))</f>
        <v/>
      </c>
      <c r="S7" s="4">
        <f>IF(OR($A7="",S$1=""),"",IFERROR(AVERAGEIFS(Scores!$G$2:$G$1001,Scores!$B$2:$B$1001,$A7,Scores!$C$2:$C$1001,S$1,Scores!$A$2:$A$1001,MAXIFS(Scores!$A$2:$A$1001,Scores!$B$2:$B$1001,$A7,Scores!$C$2:$C$1001,S$1)),""))</f>
        <v/>
      </c>
      <c r="T7" s="4">
        <f>IF(OR($A7="",T$1=""),"",IFERROR(AVERAGEIFS(Scores!$G$2:$G$1001,Scores!$B$2:$B$1001,$A7,Scores!$C$2:$C$1001,T$1,Scores!$A$2:$A$1001,MAXIFS(Scores!$A$2:$A$1001,Scores!$B$2:$B$1001,$A7,Scores!$C$2:$C$1001,T$1)),""))</f>
        <v/>
      </c>
      <c r="U7" s="4">
        <f>IF(OR($A7="",U$1=""),"",IFERROR(AVERAGEIFS(Scores!$G$2:$G$1001,Scores!$B$2:$B$1001,$A7,Scores!$C$2:$C$1001,U$1,Scores!$A$2:$A$1001,MAXIFS(Scores!$A$2:$A$1001,Scores!$B$2:$B$1001,$A7,Scores!$C$2:$C$1001,U$1)),""))</f>
        <v/>
      </c>
      <c r="V7" s="4">
        <f>IF(OR($A7="",V$1=""),"",IFERROR(AVERAGEIFS(Scores!$G$2:$G$1001,Scores!$B$2:$B$1001,$A7,Scores!$C$2:$C$1001,V$1,Scores!$A$2:$A$1001,MAXIFS(Scores!$A$2:$A$1001,Scores!$B$2:$B$1001,$A7,Scores!$C$2:$C$1001,V$1)),""))</f>
        <v/>
      </c>
      <c r="W7" s="4">
        <f>IF(OR($A7="",W$1=""),"",IFERROR(AVERAGEIFS(Scores!$G$2:$G$1001,Scores!$B$2:$B$1001,$A7,Scores!$C$2:$C$1001,W$1,Scores!$A$2:$A$1001,MAXIFS(Scores!$A$2:$A$1001,Scores!$B$2:$B$1001,$A7,Scores!$C$2:$C$1001,W$1)),""))</f>
        <v/>
      </c>
      <c r="X7" s="4">
        <f>IF(OR($A7="",X$1=""),"",IFERROR(AVERAGEIFS(Scores!$G$2:$G$1001,Scores!$B$2:$B$1001,$A7,Scores!$C$2:$C$1001,X$1,Scores!$A$2:$A$1001,MAXIFS(Scores!$A$2:$A$1001,Scores!$B$2:$B$1001,$A7,Scores!$C$2:$C$1001,X$1)),""))</f>
        <v/>
      </c>
      <c r="Y7" s="4">
        <f>IF(OR($A7="",Y$1=""),"",IFERROR(AVERAGEIFS(Scores!$G$2:$G$1001,Scores!$B$2:$B$1001,$A7,Scores!$C$2:$C$1001,Y$1,Scores!$A$2:$A$1001,MAXIFS(Scores!$A$2:$A$1001,Scores!$B$2:$B$1001,$A7,Scores!$C$2:$C$1001,Y$1)),""))</f>
        <v/>
      </c>
      <c r="Z7" s="4">
        <f>IF(OR($A7="",Z$1=""),"",IFERROR(AVERAGEIFS(Scores!$G$2:$G$1001,Scores!$B$2:$B$1001,$A7,Scores!$C$2:$C$1001,Z$1,Scores!$A$2:$A$1001,MAXIFS(Scores!$A$2:$A$1001,Scores!$B$2:$B$1001,$A7,Scores!$C$2:$C$1001,Z$1)),""))</f>
        <v/>
      </c>
      <c r="AA7" s="4">
        <f>IF(OR($A7="",AA$1=""),"",IFERROR(AVERAGEIFS(Scores!$G$2:$G$1001,Scores!$B$2:$B$1001,$A7,Scores!$C$2:$C$1001,AA$1,Scores!$A$2:$A$1001,MAXIFS(Scores!$A$2:$A$1001,Scores!$B$2:$B$1001,$A7,Scores!$C$2:$C$1001,AA$1)),""))</f>
        <v/>
      </c>
      <c r="AB7" s="4">
        <f>IF(OR($A7="",AB$1=""),"",IFERROR(AVERAGEIFS(Scores!$G$2:$G$1001,Scores!$B$2:$B$1001,$A7,Scores!$C$2:$C$1001,AB$1,Scores!$A$2:$A$1001,MAXIFS(Scores!$A$2:$A$1001,Scores!$B$2:$B$1001,$A7,Scores!$C$2:$C$1001,AB$1)),""))</f>
        <v/>
      </c>
      <c r="AC7" s="4">
        <f>IF(OR($A7="",AC$1=""),"",IFERROR(AVERAGEIFS(Scores!$G$2:$G$1001,Scores!$B$2:$B$1001,$A7,Scores!$C$2:$C$1001,AC$1,Scores!$A$2:$A$1001,MAXIFS(Scores!$A$2:$A$1001,Scores!$B$2:$B$1001,$A7,Scores!$C$2:$C$1001,AC$1)),""))</f>
        <v/>
      </c>
      <c r="AD7" s="4">
        <f>IF(OR($A7="",AD$1=""),"",IFERROR(AVERAGEIFS(Scores!$G$2:$G$1001,Scores!$B$2:$B$1001,$A7,Scores!$C$2:$C$1001,AD$1,Scores!$A$2:$A$1001,MAXIFS(Scores!$A$2:$A$1001,Scores!$B$2:$B$1001,$A7,Scores!$C$2:$C$1001,AD$1)),""))</f>
        <v/>
      </c>
      <c r="AE7" s="4">
        <f>IF(OR($A7="",AE$1=""),"",IFERROR(AVERAGEIFS(Scores!$G$2:$G$1001,Scores!$B$2:$B$1001,$A7,Scores!$C$2:$C$1001,AE$1,Scores!$A$2:$A$1001,MAXIFS(Scores!$A$2:$A$1001,Scores!$B$2:$B$1001,$A7,Scores!$C$2:$C$1001,AE$1)),""))</f>
        <v/>
      </c>
      <c r="AF7" s="6">
        <f>IF($A7="","",IFERROR(AVERAGE(B7:AE7),""))</f>
        <v/>
      </c>
    </row>
    <row r="8">
      <c r="A8" s="5">
        <f>IFERROR(Config!A8,"")</f>
        <v/>
      </c>
      <c r="B8" s="4">
        <f>IF(OR($A8="",B$1=""),"",IFERROR(AVERAGEIFS(Scores!$G$2:$G$1001,Scores!$B$2:$B$1001,$A8,Scores!$C$2:$C$1001,B$1,Scores!$A$2:$A$1001,MAXIFS(Scores!$A$2:$A$1001,Scores!$B$2:$B$1001,$A8,Scores!$C$2:$C$1001,B$1)),""))</f>
        <v/>
      </c>
      <c r="C8" s="4">
        <f>IF(OR($A8="",C$1=""),"",IFERROR(AVERAGEIFS(Scores!$G$2:$G$1001,Scores!$B$2:$B$1001,$A8,Scores!$C$2:$C$1001,C$1,Scores!$A$2:$A$1001,MAXIFS(Scores!$A$2:$A$1001,Scores!$B$2:$B$1001,$A8,Scores!$C$2:$C$1001,C$1)),""))</f>
        <v/>
      </c>
      <c r="D8" s="4">
        <f>IF(OR($A8="",D$1=""),"",IFERROR(AVERAGEIFS(Scores!$G$2:$G$1001,Scores!$B$2:$B$1001,$A8,Scores!$C$2:$C$1001,D$1,Scores!$A$2:$A$1001,MAXIFS(Scores!$A$2:$A$1001,Scores!$B$2:$B$1001,$A8,Scores!$C$2:$C$1001,D$1)),""))</f>
        <v/>
      </c>
      <c r="E8" s="4">
        <f>IF(OR($A8="",E$1=""),"",IFERROR(AVERAGEIFS(Scores!$G$2:$G$1001,Scores!$B$2:$B$1001,$A8,Scores!$C$2:$C$1001,E$1,Scores!$A$2:$A$1001,MAXIFS(Scores!$A$2:$A$1001,Scores!$B$2:$B$1001,$A8,Scores!$C$2:$C$1001,E$1)),""))</f>
        <v/>
      </c>
      <c r="F8" s="4">
        <f>IF(OR($A8="",F$1=""),"",IFERROR(AVERAGEIFS(Scores!$G$2:$G$1001,Scores!$B$2:$B$1001,$A8,Scores!$C$2:$C$1001,F$1,Scores!$A$2:$A$1001,MAXIFS(Scores!$A$2:$A$1001,Scores!$B$2:$B$1001,$A8,Scores!$C$2:$C$1001,F$1)),""))</f>
        <v/>
      </c>
      <c r="G8" s="4">
        <f>IF(OR($A8="",G$1=""),"",IFERROR(AVERAGEIFS(Scores!$G$2:$G$1001,Scores!$B$2:$B$1001,$A8,Scores!$C$2:$C$1001,G$1,Scores!$A$2:$A$1001,MAXIFS(Scores!$A$2:$A$1001,Scores!$B$2:$B$1001,$A8,Scores!$C$2:$C$1001,G$1)),""))</f>
        <v/>
      </c>
      <c r="H8" s="4">
        <f>IF(OR($A8="",H$1=""),"",IFERROR(AVERAGEIFS(Scores!$G$2:$G$1001,Scores!$B$2:$B$1001,$A8,Scores!$C$2:$C$1001,H$1,Scores!$A$2:$A$1001,MAXIFS(Scores!$A$2:$A$1001,Scores!$B$2:$B$1001,$A8,Scores!$C$2:$C$1001,H$1)),""))</f>
        <v/>
      </c>
      <c r="I8" s="4">
        <f>IF(OR($A8="",I$1=""),"",IFERROR(AVERAGEIFS(Scores!$G$2:$G$1001,Scores!$B$2:$B$1001,$A8,Scores!$C$2:$C$1001,I$1,Scores!$A$2:$A$1001,MAXIFS(Scores!$A$2:$A$1001,Scores!$B$2:$B$1001,$A8,Scores!$C$2:$C$1001,I$1)),""))</f>
        <v/>
      </c>
      <c r="J8" s="4">
        <f>IF(OR($A8="",J$1=""),"",IFERROR(AVERAGEIFS(Scores!$G$2:$G$1001,Scores!$B$2:$B$1001,$A8,Scores!$C$2:$C$1001,J$1,Scores!$A$2:$A$1001,MAXIFS(Scores!$A$2:$A$1001,Scores!$B$2:$B$1001,$A8,Scores!$C$2:$C$1001,J$1)),""))</f>
        <v/>
      </c>
      <c r="K8" s="4">
        <f>IF(OR($A8="",K$1=""),"",IFERROR(AVERAGEIFS(Scores!$G$2:$G$1001,Scores!$B$2:$B$1001,$A8,Scores!$C$2:$C$1001,K$1,Scores!$A$2:$A$1001,MAXIFS(Scores!$A$2:$A$1001,Scores!$B$2:$B$1001,$A8,Scores!$C$2:$C$1001,K$1)),""))</f>
        <v/>
      </c>
      <c r="L8" s="4">
        <f>IF(OR($A8="",L$1=""),"",IFERROR(AVERAGEIFS(Scores!$G$2:$G$1001,Scores!$B$2:$B$1001,$A8,Scores!$C$2:$C$1001,L$1,Scores!$A$2:$A$1001,MAXIFS(Scores!$A$2:$A$1001,Scores!$B$2:$B$1001,$A8,Scores!$C$2:$C$1001,L$1)),""))</f>
        <v/>
      </c>
      <c r="M8" s="4">
        <f>IF(OR($A8="",M$1=""),"",IFERROR(AVERAGEIFS(Scores!$G$2:$G$1001,Scores!$B$2:$B$1001,$A8,Scores!$C$2:$C$1001,M$1,Scores!$A$2:$A$1001,MAXIFS(Scores!$A$2:$A$1001,Scores!$B$2:$B$1001,$A8,Scores!$C$2:$C$1001,M$1)),""))</f>
        <v/>
      </c>
      <c r="N8" s="4">
        <f>IF(OR($A8="",N$1=""),"",IFERROR(AVERAGEIFS(Scores!$G$2:$G$1001,Scores!$B$2:$B$1001,$A8,Scores!$C$2:$C$1001,N$1,Scores!$A$2:$A$1001,MAXIFS(Scores!$A$2:$A$1001,Scores!$B$2:$B$1001,$A8,Scores!$C$2:$C$1001,N$1)),""))</f>
        <v/>
      </c>
      <c r="O8" s="4">
        <f>IF(OR($A8="",O$1=""),"",IFERROR(AVERAGEIFS(Scores!$G$2:$G$1001,Scores!$B$2:$B$1001,$A8,Scores!$C$2:$C$1001,O$1,Scores!$A$2:$A$1001,MAXIFS(Scores!$A$2:$A$1001,Scores!$B$2:$B$1001,$A8,Scores!$C$2:$C$1001,O$1)),""))</f>
        <v/>
      </c>
      <c r="P8" s="4">
        <f>IF(OR($A8="",P$1=""),"",IFERROR(AVERAGEIFS(Scores!$G$2:$G$1001,Scores!$B$2:$B$1001,$A8,Scores!$C$2:$C$1001,P$1,Scores!$A$2:$A$1001,MAXIFS(Scores!$A$2:$A$1001,Scores!$B$2:$B$1001,$A8,Scores!$C$2:$C$1001,P$1)),""))</f>
        <v/>
      </c>
      <c r="Q8" s="4">
        <f>IF(OR($A8="",Q$1=""),"",IFERROR(AVERAGEIFS(Scores!$G$2:$G$1001,Scores!$B$2:$B$1001,$A8,Scores!$C$2:$C$1001,Q$1,Scores!$A$2:$A$1001,MAXIFS(Scores!$A$2:$A$1001,Scores!$B$2:$B$1001,$A8,Scores!$C$2:$C$1001,Q$1)),""))</f>
        <v/>
      </c>
      <c r="R8" s="4">
        <f>IF(OR($A8="",R$1=""),"",IFERROR(AVERAGEIFS(Scores!$G$2:$G$1001,Scores!$B$2:$B$1001,$A8,Scores!$C$2:$C$1001,R$1,Scores!$A$2:$A$1001,MAXIFS(Scores!$A$2:$A$1001,Scores!$B$2:$B$1001,$A8,Scores!$C$2:$C$1001,R$1)),""))</f>
        <v/>
      </c>
      <c r="S8" s="4">
        <f>IF(OR($A8="",S$1=""),"",IFERROR(AVERAGEIFS(Scores!$G$2:$G$1001,Scores!$B$2:$B$1001,$A8,Scores!$C$2:$C$1001,S$1,Scores!$A$2:$A$1001,MAXIFS(Scores!$A$2:$A$1001,Scores!$B$2:$B$1001,$A8,Scores!$C$2:$C$1001,S$1)),""))</f>
        <v/>
      </c>
      <c r="T8" s="4">
        <f>IF(OR($A8="",T$1=""),"",IFERROR(AVERAGEIFS(Scores!$G$2:$G$1001,Scores!$B$2:$B$1001,$A8,Scores!$C$2:$C$1001,T$1,Scores!$A$2:$A$1001,MAXIFS(Scores!$A$2:$A$1001,Scores!$B$2:$B$1001,$A8,Scores!$C$2:$C$1001,T$1)),""))</f>
        <v/>
      </c>
      <c r="U8" s="4">
        <f>IF(OR($A8="",U$1=""),"",IFERROR(AVERAGEIFS(Scores!$G$2:$G$1001,Scores!$B$2:$B$1001,$A8,Scores!$C$2:$C$1001,U$1,Scores!$A$2:$A$1001,MAXIFS(Scores!$A$2:$A$1001,Scores!$B$2:$B$1001,$A8,Scores!$C$2:$C$1001,U$1)),""))</f>
        <v/>
      </c>
      <c r="V8" s="4">
        <f>IF(OR($A8="",V$1=""),"",IFERROR(AVERAGEIFS(Scores!$G$2:$G$1001,Scores!$B$2:$B$1001,$A8,Scores!$C$2:$C$1001,V$1,Scores!$A$2:$A$1001,MAXIFS(Scores!$A$2:$A$1001,Scores!$B$2:$B$1001,$A8,Scores!$C$2:$C$1001,V$1)),""))</f>
        <v/>
      </c>
      <c r="W8" s="4">
        <f>IF(OR($A8="",W$1=""),"",IFERROR(AVERAGEIFS(Scores!$G$2:$G$1001,Scores!$B$2:$B$1001,$A8,Scores!$C$2:$C$1001,W$1,Scores!$A$2:$A$1001,MAXIFS(Scores!$A$2:$A$1001,Scores!$B$2:$B$1001,$A8,Scores!$C$2:$C$1001,W$1)),""))</f>
        <v/>
      </c>
      <c r="X8" s="4">
        <f>IF(OR($A8="",X$1=""),"",IFERROR(AVERAGEIFS(Scores!$G$2:$G$1001,Scores!$B$2:$B$1001,$A8,Scores!$C$2:$C$1001,X$1,Scores!$A$2:$A$1001,MAXIFS(Scores!$A$2:$A$1001,Scores!$B$2:$B$1001,$A8,Scores!$C$2:$C$1001,X$1)),""))</f>
        <v/>
      </c>
      <c r="Y8" s="4">
        <f>IF(OR($A8="",Y$1=""),"",IFERROR(AVERAGEIFS(Scores!$G$2:$G$1001,Scores!$B$2:$B$1001,$A8,Scores!$C$2:$C$1001,Y$1,Scores!$A$2:$A$1001,MAXIFS(Scores!$A$2:$A$1001,Scores!$B$2:$B$1001,$A8,Scores!$C$2:$C$1001,Y$1)),""))</f>
        <v/>
      </c>
      <c r="Z8" s="4">
        <f>IF(OR($A8="",Z$1=""),"",IFERROR(AVERAGEIFS(Scores!$G$2:$G$1001,Scores!$B$2:$B$1001,$A8,Scores!$C$2:$C$1001,Z$1,Scores!$A$2:$A$1001,MAXIFS(Scores!$A$2:$A$1001,Scores!$B$2:$B$1001,$A8,Scores!$C$2:$C$1001,Z$1)),""))</f>
        <v/>
      </c>
      <c r="AA8" s="4">
        <f>IF(OR($A8="",AA$1=""),"",IFERROR(AVERAGEIFS(Scores!$G$2:$G$1001,Scores!$B$2:$B$1001,$A8,Scores!$C$2:$C$1001,AA$1,Scores!$A$2:$A$1001,MAXIFS(Scores!$A$2:$A$1001,Scores!$B$2:$B$1001,$A8,Scores!$C$2:$C$1001,AA$1)),""))</f>
        <v/>
      </c>
      <c r="AB8" s="4">
        <f>IF(OR($A8="",AB$1=""),"",IFERROR(AVERAGEIFS(Scores!$G$2:$G$1001,Scores!$B$2:$B$1001,$A8,Scores!$C$2:$C$1001,AB$1,Scores!$A$2:$A$1001,MAXIFS(Scores!$A$2:$A$1001,Scores!$B$2:$B$1001,$A8,Scores!$C$2:$C$1001,AB$1)),""))</f>
        <v/>
      </c>
      <c r="AC8" s="4">
        <f>IF(OR($A8="",AC$1=""),"",IFERROR(AVERAGEIFS(Scores!$G$2:$G$1001,Scores!$B$2:$B$1001,$A8,Scores!$C$2:$C$1001,AC$1,Scores!$A$2:$A$1001,MAXIFS(Scores!$A$2:$A$1001,Scores!$B$2:$B$1001,$A8,Scores!$C$2:$C$1001,AC$1)),""))</f>
        <v/>
      </c>
      <c r="AD8" s="4">
        <f>IF(OR($A8="",AD$1=""),"",IFERROR(AVERAGEIFS(Scores!$G$2:$G$1001,Scores!$B$2:$B$1001,$A8,Scores!$C$2:$C$1001,AD$1,Scores!$A$2:$A$1001,MAXIFS(Scores!$A$2:$A$1001,Scores!$B$2:$B$1001,$A8,Scores!$C$2:$C$1001,AD$1)),""))</f>
        <v/>
      </c>
      <c r="AE8" s="4">
        <f>IF(OR($A8="",AE$1=""),"",IFERROR(AVERAGEIFS(Scores!$G$2:$G$1001,Scores!$B$2:$B$1001,$A8,Scores!$C$2:$C$1001,AE$1,Scores!$A$2:$A$1001,MAXIFS(Scores!$A$2:$A$1001,Scores!$B$2:$B$1001,$A8,Scores!$C$2:$C$1001,AE$1)),""))</f>
        <v/>
      </c>
      <c r="AF8" s="6">
        <f>IF($A8="","",IFERROR(AVERAGE(B8:AE8),""))</f>
        <v/>
      </c>
    </row>
    <row r="9">
      <c r="A9" s="5">
        <f>IFERROR(Config!A9,"")</f>
        <v/>
      </c>
      <c r="B9" s="4">
        <f>IF(OR($A9="",B$1=""),"",IFERROR(AVERAGEIFS(Scores!$G$2:$G$1001,Scores!$B$2:$B$1001,$A9,Scores!$C$2:$C$1001,B$1,Scores!$A$2:$A$1001,MAXIFS(Scores!$A$2:$A$1001,Scores!$B$2:$B$1001,$A9,Scores!$C$2:$C$1001,B$1)),""))</f>
        <v/>
      </c>
      <c r="C9" s="4">
        <f>IF(OR($A9="",C$1=""),"",IFERROR(AVERAGEIFS(Scores!$G$2:$G$1001,Scores!$B$2:$B$1001,$A9,Scores!$C$2:$C$1001,C$1,Scores!$A$2:$A$1001,MAXIFS(Scores!$A$2:$A$1001,Scores!$B$2:$B$1001,$A9,Scores!$C$2:$C$1001,C$1)),""))</f>
        <v/>
      </c>
      <c r="D9" s="4">
        <f>IF(OR($A9="",D$1=""),"",IFERROR(AVERAGEIFS(Scores!$G$2:$G$1001,Scores!$B$2:$B$1001,$A9,Scores!$C$2:$C$1001,D$1,Scores!$A$2:$A$1001,MAXIFS(Scores!$A$2:$A$1001,Scores!$B$2:$B$1001,$A9,Scores!$C$2:$C$1001,D$1)),""))</f>
        <v/>
      </c>
      <c r="E9" s="4">
        <f>IF(OR($A9="",E$1=""),"",IFERROR(AVERAGEIFS(Scores!$G$2:$G$1001,Scores!$B$2:$B$1001,$A9,Scores!$C$2:$C$1001,E$1,Scores!$A$2:$A$1001,MAXIFS(Scores!$A$2:$A$1001,Scores!$B$2:$B$1001,$A9,Scores!$C$2:$C$1001,E$1)),""))</f>
        <v/>
      </c>
      <c r="F9" s="4">
        <f>IF(OR($A9="",F$1=""),"",IFERROR(AVERAGEIFS(Scores!$G$2:$G$1001,Scores!$B$2:$B$1001,$A9,Scores!$C$2:$C$1001,F$1,Scores!$A$2:$A$1001,MAXIFS(Scores!$A$2:$A$1001,Scores!$B$2:$B$1001,$A9,Scores!$C$2:$C$1001,F$1)),""))</f>
        <v/>
      </c>
      <c r="G9" s="4">
        <f>IF(OR($A9="",G$1=""),"",IFERROR(AVERAGEIFS(Scores!$G$2:$G$1001,Scores!$B$2:$B$1001,$A9,Scores!$C$2:$C$1001,G$1,Scores!$A$2:$A$1001,MAXIFS(Scores!$A$2:$A$1001,Scores!$B$2:$B$1001,$A9,Scores!$C$2:$C$1001,G$1)),""))</f>
        <v/>
      </c>
      <c r="H9" s="4">
        <f>IF(OR($A9="",H$1=""),"",IFERROR(AVERAGEIFS(Scores!$G$2:$G$1001,Scores!$B$2:$B$1001,$A9,Scores!$C$2:$C$1001,H$1,Scores!$A$2:$A$1001,MAXIFS(Scores!$A$2:$A$1001,Scores!$B$2:$B$1001,$A9,Scores!$C$2:$C$1001,H$1)),""))</f>
        <v/>
      </c>
      <c r="I9" s="4">
        <f>IF(OR($A9="",I$1=""),"",IFERROR(AVERAGEIFS(Scores!$G$2:$G$1001,Scores!$B$2:$B$1001,$A9,Scores!$C$2:$C$1001,I$1,Scores!$A$2:$A$1001,MAXIFS(Scores!$A$2:$A$1001,Scores!$B$2:$B$1001,$A9,Scores!$C$2:$C$1001,I$1)),""))</f>
        <v/>
      </c>
      <c r="J9" s="4">
        <f>IF(OR($A9="",J$1=""),"",IFERROR(AVERAGEIFS(Scores!$G$2:$G$1001,Scores!$B$2:$B$1001,$A9,Scores!$C$2:$C$1001,J$1,Scores!$A$2:$A$1001,MAXIFS(Scores!$A$2:$A$1001,Scores!$B$2:$B$1001,$A9,Scores!$C$2:$C$1001,J$1)),""))</f>
        <v/>
      </c>
      <c r="K9" s="4">
        <f>IF(OR($A9="",K$1=""),"",IFERROR(AVERAGEIFS(Scores!$G$2:$G$1001,Scores!$B$2:$B$1001,$A9,Scores!$C$2:$C$1001,K$1,Scores!$A$2:$A$1001,MAXIFS(Scores!$A$2:$A$1001,Scores!$B$2:$B$1001,$A9,Scores!$C$2:$C$1001,K$1)),""))</f>
        <v/>
      </c>
      <c r="L9" s="4">
        <f>IF(OR($A9="",L$1=""),"",IFERROR(AVERAGEIFS(Scores!$G$2:$G$1001,Scores!$B$2:$B$1001,$A9,Scores!$C$2:$C$1001,L$1,Scores!$A$2:$A$1001,MAXIFS(Scores!$A$2:$A$1001,Scores!$B$2:$B$1001,$A9,Scores!$C$2:$C$1001,L$1)),""))</f>
        <v/>
      </c>
      <c r="M9" s="4">
        <f>IF(OR($A9="",M$1=""),"",IFERROR(AVERAGEIFS(Scores!$G$2:$G$1001,Scores!$B$2:$B$1001,$A9,Scores!$C$2:$C$1001,M$1,Scores!$A$2:$A$1001,MAXIFS(Scores!$A$2:$A$1001,Scores!$B$2:$B$1001,$A9,Scores!$C$2:$C$1001,M$1)),""))</f>
        <v/>
      </c>
      <c r="N9" s="4">
        <f>IF(OR($A9="",N$1=""),"",IFERROR(AVERAGEIFS(Scores!$G$2:$G$1001,Scores!$B$2:$B$1001,$A9,Scores!$C$2:$C$1001,N$1,Scores!$A$2:$A$1001,MAXIFS(Scores!$A$2:$A$1001,Scores!$B$2:$B$1001,$A9,Scores!$C$2:$C$1001,N$1)),""))</f>
        <v/>
      </c>
      <c r="O9" s="4">
        <f>IF(OR($A9="",O$1=""),"",IFERROR(AVERAGEIFS(Scores!$G$2:$G$1001,Scores!$B$2:$B$1001,$A9,Scores!$C$2:$C$1001,O$1,Scores!$A$2:$A$1001,MAXIFS(Scores!$A$2:$A$1001,Scores!$B$2:$B$1001,$A9,Scores!$C$2:$C$1001,O$1)),""))</f>
        <v/>
      </c>
      <c r="P9" s="4">
        <f>IF(OR($A9="",P$1=""),"",IFERROR(AVERAGEIFS(Scores!$G$2:$G$1001,Scores!$B$2:$B$1001,$A9,Scores!$C$2:$C$1001,P$1,Scores!$A$2:$A$1001,MAXIFS(Scores!$A$2:$A$1001,Scores!$B$2:$B$1001,$A9,Scores!$C$2:$C$1001,P$1)),""))</f>
        <v/>
      </c>
      <c r="Q9" s="4">
        <f>IF(OR($A9="",Q$1=""),"",IFERROR(AVERAGEIFS(Scores!$G$2:$G$1001,Scores!$B$2:$B$1001,$A9,Scores!$C$2:$C$1001,Q$1,Scores!$A$2:$A$1001,MAXIFS(Scores!$A$2:$A$1001,Scores!$B$2:$B$1001,$A9,Scores!$C$2:$C$1001,Q$1)),""))</f>
        <v/>
      </c>
      <c r="R9" s="4">
        <f>IF(OR($A9="",R$1=""),"",IFERROR(AVERAGEIFS(Scores!$G$2:$G$1001,Scores!$B$2:$B$1001,$A9,Scores!$C$2:$C$1001,R$1,Scores!$A$2:$A$1001,MAXIFS(Scores!$A$2:$A$1001,Scores!$B$2:$B$1001,$A9,Scores!$C$2:$C$1001,R$1)),""))</f>
        <v/>
      </c>
      <c r="S9" s="4">
        <f>IF(OR($A9="",S$1=""),"",IFERROR(AVERAGEIFS(Scores!$G$2:$G$1001,Scores!$B$2:$B$1001,$A9,Scores!$C$2:$C$1001,S$1,Scores!$A$2:$A$1001,MAXIFS(Scores!$A$2:$A$1001,Scores!$B$2:$B$1001,$A9,Scores!$C$2:$C$1001,S$1)),""))</f>
        <v/>
      </c>
      <c r="T9" s="4">
        <f>IF(OR($A9="",T$1=""),"",IFERROR(AVERAGEIFS(Scores!$G$2:$G$1001,Scores!$B$2:$B$1001,$A9,Scores!$C$2:$C$1001,T$1,Scores!$A$2:$A$1001,MAXIFS(Scores!$A$2:$A$1001,Scores!$B$2:$B$1001,$A9,Scores!$C$2:$C$1001,T$1)),""))</f>
        <v/>
      </c>
      <c r="U9" s="4">
        <f>IF(OR($A9="",U$1=""),"",IFERROR(AVERAGEIFS(Scores!$G$2:$G$1001,Scores!$B$2:$B$1001,$A9,Scores!$C$2:$C$1001,U$1,Scores!$A$2:$A$1001,MAXIFS(Scores!$A$2:$A$1001,Scores!$B$2:$B$1001,$A9,Scores!$C$2:$C$1001,U$1)),""))</f>
        <v/>
      </c>
      <c r="V9" s="4">
        <f>IF(OR($A9="",V$1=""),"",IFERROR(AVERAGEIFS(Scores!$G$2:$G$1001,Scores!$B$2:$B$1001,$A9,Scores!$C$2:$C$1001,V$1,Scores!$A$2:$A$1001,MAXIFS(Scores!$A$2:$A$1001,Scores!$B$2:$B$1001,$A9,Scores!$C$2:$C$1001,V$1)),""))</f>
        <v/>
      </c>
      <c r="W9" s="4">
        <f>IF(OR($A9="",W$1=""),"",IFERROR(AVERAGEIFS(Scores!$G$2:$G$1001,Scores!$B$2:$B$1001,$A9,Scores!$C$2:$C$1001,W$1,Scores!$A$2:$A$1001,MAXIFS(Scores!$A$2:$A$1001,Scores!$B$2:$B$1001,$A9,Scores!$C$2:$C$1001,W$1)),""))</f>
        <v/>
      </c>
      <c r="X9" s="4">
        <f>IF(OR($A9="",X$1=""),"",IFERROR(AVERAGEIFS(Scores!$G$2:$G$1001,Scores!$B$2:$B$1001,$A9,Scores!$C$2:$C$1001,X$1,Scores!$A$2:$A$1001,MAXIFS(Scores!$A$2:$A$1001,Scores!$B$2:$B$1001,$A9,Scores!$C$2:$C$1001,X$1)),""))</f>
        <v/>
      </c>
      <c r="Y9" s="4">
        <f>IF(OR($A9="",Y$1=""),"",IFERROR(AVERAGEIFS(Scores!$G$2:$G$1001,Scores!$B$2:$B$1001,$A9,Scores!$C$2:$C$1001,Y$1,Scores!$A$2:$A$1001,MAXIFS(Scores!$A$2:$A$1001,Scores!$B$2:$B$1001,$A9,Scores!$C$2:$C$1001,Y$1)),""))</f>
        <v/>
      </c>
      <c r="Z9" s="4">
        <f>IF(OR($A9="",Z$1=""),"",IFERROR(AVERAGEIFS(Scores!$G$2:$G$1001,Scores!$B$2:$B$1001,$A9,Scores!$C$2:$C$1001,Z$1,Scores!$A$2:$A$1001,MAXIFS(Scores!$A$2:$A$1001,Scores!$B$2:$B$1001,$A9,Scores!$C$2:$C$1001,Z$1)),""))</f>
        <v/>
      </c>
      <c r="AA9" s="4">
        <f>IF(OR($A9="",AA$1=""),"",IFERROR(AVERAGEIFS(Scores!$G$2:$G$1001,Scores!$B$2:$B$1001,$A9,Scores!$C$2:$C$1001,AA$1,Scores!$A$2:$A$1001,MAXIFS(Scores!$A$2:$A$1001,Scores!$B$2:$B$1001,$A9,Scores!$C$2:$C$1001,AA$1)),""))</f>
        <v/>
      </c>
      <c r="AB9" s="4">
        <f>IF(OR($A9="",AB$1=""),"",IFERROR(AVERAGEIFS(Scores!$G$2:$G$1001,Scores!$B$2:$B$1001,$A9,Scores!$C$2:$C$1001,AB$1,Scores!$A$2:$A$1001,MAXIFS(Scores!$A$2:$A$1001,Scores!$B$2:$B$1001,$A9,Scores!$C$2:$C$1001,AB$1)),""))</f>
        <v/>
      </c>
      <c r="AC9" s="4">
        <f>IF(OR($A9="",AC$1=""),"",IFERROR(AVERAGEIFS(Scores!$G$2:$G$1001,Scores!$B$2:$B$1001,$A9,Scores!$C$2:$C$1001,AC$1,Scores!$A$2:$A$1001,MAXIFS(Scores!$A$2:$A$1001,Scores!$B$2:$B$1001,$A9,Scores!$C$2:$C$1001,AC$1)),""))</f>
        <v/>
      </c>
      <c r="AD9" s="4">
        <f>IF(OR($A9="",AD$1=""),"",IFERROR(AVERAGEIFS(Scores!$G$2:$G$1001,Scores!$B$2:$B$1001,$A9,Scores!$C$2:$C$1001,AD$1,Scores!$A$2:$A$1001,MAXIFS(Scores!$A$2:$A$1001,Scores!$B$2:$B$1001,$A9,Scores!$C$2:$C$1001,AD$1)),""))</f>
        <v/>
      </c>
      <c r="AE9" s="4">
        <f>IF(OR($A9="",AE$1=""),"",IFERROR(AVERAGEIFS(Scores!$G$2:$G$1001,Scores!$B$2:$B$1001,$A9,Scores!$C$2:$C$1001,AE$1,Scores!$A$2:$A$1001,MAXIFS(Scores!$A$2:$A$1001,Scores!$B$2:$B$1001,$A9,Scores!$C$2:$C$1001,AE$1)),""))</f>
        <v/>
      </c>
      <c r="AF9" s="6">
        <f>IF($A9="","",IFERROR(AVERAGE(B9:AE9),""))</f>
        <v/>
      </c>
    </row>
    <row r="10">
      <c r="A10" s="5">
        <f>IFERROR(Config!A10,"")</f>
        <v/>
      </c>
      <c r="B10" s="4">
        <f>IF(OR($A10="",B$1=""),"",IFERROR(AVERAGEIFS(Scores!$G$2:$G$1001,Scores!$B$2:$B$1001,$A10,Scores!$C$2:$C$1001,B$1,Scores!$A$2:$A$1001,MAXIFS(Scores!$A$2:$A$1001,Scores!$B$2:$B$1001,$A10,Scores!$C$2:$C$1001,B$1)),""))</f>
        <v/>
      </c>
      <c r="C10" s="4">
        <f>IF(OR($A10="",C$1=""),"",IFERROR(AVERAGEIFS(Scores!$G$2:$G$1001,Scores!$B$2:$B$1001,$A10,Scores!$C$2:$C$1001,C$1,Scores!$A$2:$A$1001,MAXIFS(Scores!$A$2:$A$1001,Scores!$B$2:$B$1001,$A10,Scores!$C$2:$C$1001,C$1)),""))</f>
        <v/>
      </c>
      <c r="D10" s="4">
        <f>IF(OR($A10="",D$1=""),"",IFERROR(AVERAGEIFS(Scores!$G$2:$G$1001,Scores!$B$2:$B$1001,$A10,Scores!$C$2:$C$1001,D$1,Scores!$A$2:$A$1001,MAXIFS(Scores!$A$2:$A$1001,Scores!$B$2:$B$1001,$A10,Scores!$C$2:$C$1001,D$1)),""))</f>
        <v/>
      </c>
      <c r="E10" s="4">
        <f>IF(OR($A10="",E$1=""),"",IFERROR(AVERAGEIFS(Scores!$G$2:$G$1001,Scores!$B$2:$B$1001,$A10,Scores!$C$2:$C$1001,E$1,Scores!$A$2:$A$1001,MAXIFS(Scores!$A$2:$A$1001,Scores!$B$2:$B$1001,$A10,Scores!$C$2:$C$1001,E$1)),""))</f>
        <v/>
      </c>
      <c r="F10" s="4">
        <f>IF(OR($A10="",F$1=""),"",IFERROR(AVERAGEIFS(Scores!$G$2:$G$1001,Scores!$B$2:$B$1001,$A10,Scores!$C$2:$C$1001,F$1,Scores!$A$2:$A$1001,MAXIFS(Scores!$A$2:$A$1001,Scores!$B$2:$B$1001,$A10,Scores!$C$2:$C$1001,F$1)),""))</f>
        <v/>
      </c>
      <c r="G10" s="4">
        <f>IF(OR($A10="",G$1=""),"",IFERROR(AVERAGEIFS(Scores!$G$2:$G$1001,Scores!$B$2:$B$1001,$A10,Scores!$C$2:$C$1001,G$1,Scores!$A$2:$A$1001,MAXIFS(Scores!$A$2:$A$1001,Scores!$B$2:$B$1001,$A10,Scores!$C$2:$C$1001,G$1)),""))</f>
        <v/>
      </c>
      <c r="H10" s="4">
        <f>IF(OR($A10="",H$1=""),"",IFERROR(AVERAGEIFS(Scores!$G$2:$G$1001,Scores!$B$2:$B$1001,$A10,Scores!$C$2:$C$1001,H$1,Scores!$A$2:$A$1001,MAXIFS(Scores!$A$2:$A$1001,Scores!$B$2:$B$1001,$A10,Scores!$C$2:$C$1001,H$1)),""))</f>
        <v/>
      </c>
      <c r="I10" s="4">
        <f>IF(OR($A10="",I$1=""),"",IFERROR(AVERAGEIFS(Scores!$G$2:$G$1001,Scores!$B$2:$B$1001,$A10,Scores!$C$2:$C$1001,I$1,Scores!$A$2:$A$1001,MAXIFS(Scores!$A$2:$A$1001,Scores!$B$2:$B$1001,$A10,Scores!$C$2:$C$1001,I$1)),""))</f>
        <v/>
      </c>
      <c r="J10" s="4">
        <f>IF(OR($A10="",J$1=""),"",IFERROR(AVERAGEIFS(Scores!$G$2:$G$1001,Scores!$B$2:$B$1001,$A10,Scores!$C$2:$C$1001,J$1,Scores!$A$2:$A$1001,MAXIFS(Scores!$A$2:$A$1001,Scores!$B$2:$B$1001,$A10,Scores!$C$2:$C$1001,J$1)),""))</f>
        <v/>
      </c>
      <c r="K10" s="4">
        <f>IF(OR($A10="",K$1=""),"",IFERROR(AVERAGEIFS(Scores!$G$2:$G$1001,Scores!$B$2:$B$1001,$A10,Scores!$C$2:$C$1001,K$1,Scores!$A$2:$A$1001,MAXIFS(Scores!$A$2:$A$1001,Scores!$B$2:$B$1001,$A10,Scores!$C$2:$C$1001,K$1)),""))</f>
        <v/>
      </c>
      <c r="L10" s="4">
        <f>IF(OR($A10="",L$1=""),"",IFERROR(AVERAGEIFS(Scores!$G$2:$G$1001,Scores!$B$2:$B$1001,$A10,Scores!$C$2:$C$1001,L$1,Scores!$A$2:$A$1001,MAXIFS(Scores!$A$2:$A$1001,Scores!$B$2:$B$1001,$A10,Scores!$C$2:$C$1001,L$1)),""))</f>
        <v/>
      </c>
      <c r="M10" s="4">
        <f>IF(OR($A10="",M$1=""),"",IFERROR(AVERAGEIFS(Scores!$G$2:$G$1001,Scores!$B$2:$B$1001,$A10,Scores!$C$2:$C$1001,M$1,Scores!$A$2:$A$1001,MAXIFS(Scores!$A$2:$A$1001,Scores!$B$2:$B$1001,$A10,Scores!$C$2:$C$1001,M$1)),""))</f>
        <v/>
      </c>
      <c r="N10" s="4">
        <f>IF(OR($A10="",N$1=""),"",IFERROR(AVERAGEIFS(Scores!$G$2:$G$1001,Scores!$B$2:$B$1001,$A10,Scores!$C$2:$C$1001,N$1,Scores!$A$2:$A$1001,MAXIFS(Scores!$A$2:$A$1001,Scores!$B$2:$B$1001,$A10,Scores!$C$2:$C$1001,N$1)),""))</f>
        <v/>
      </c>
      <c r="O10" s="4">
        <f>IF(OR($A10="",O$1=""),"",IFERROR(AVERAGEIFS(Scores!$G$2:$G$1001,Scores!$B$2:$B$1001,$A10,Scores!$C$2:$C$1001,O$1,Scores!$A$2:$A$1001,MAXIFS(Scores!$A$2:$A$1001,Scores!$B$2:$B$1001,$A10,Scores!$C$2:$C$1001,O$1)),""))</f>
        <v/>
      </c>
      <c r="P10" s="4">
        <f>IF(OR($A10="",P$1=""),"",IFERROR(AVERAGEIFS(Scores!$G$2:$G$1001,Scores!$B$2:$B$1001,$A10,Scores!$C$2:$C$1001,P$1,Scores!$A$2:$A$1001,MAXIFS(Scores!$A$2:$A$1001,Scores!$B$2:$B$1001,$A10,Scores!$C$2:$C$1001,P$1)),""))</f>
        <v/>
      </c>
      <c r="Q10" s="4">
        <f>IF(OR($A10="",Q$1=""),"",IFERROR(AVERAGEIFS(Scores!$G$2:$G$1001,Scores!$B$2:$B$1001,$A10,Scores!$C$2:$C$1001,Q$1,Scores!$A$2:$A$1001,MAXIFS(Scores!$A$2:$A$1001,Scores!$B$2:$B$1001,$A10,Scores!$C$2:$C$1001,Q$1)),""))</f>
        <v/>
      </c>
      <c r="R10" s="4">
        <f>IF(OR($A10="",R$1=""),"",IFERROR(AVERAGEIFS(Scores!$G$2:$G$1001,Scores!$B$2:$B$1001,$A10,Scores!$C$2:$C$1001,R$1,Scores!$A$2:$A$1001,MAXIFS(Scores!$A$2:$A$1001,Scores!$B$2:$B$1001,$A10,Scores!$C$2:$C$1001,R$1)),""))</f>
        <v/>
      </c>
      <c r="S10" s="4">
        <f>IF(OR($A10="",S$1=""),"",IFERROR(AVERAGEIFS(Scores!$G$2:$G$1001,Scores!$B$2:$B$1001,$A10,Scores!$C$2:$C$1001,S$1,Scores!$A$2:$A$1001,MAXIFS(Scores!$A$2:$A$1001,Scores!$B$2:$B$1001,$A10,Scores!$C$2:$C$1001,S$1)),""))</f>
        <v/>
      </c>
      <c r="T10" s="4">
        <f>IF(OR($A10="",T$1=""),"",IFERROR(AVERAGEIFS(Scores!$G$2:$G$1001,Scores!$B$2:$B$1001,$A10,Scores!$C$2:$C$1001,T$1,Scores!$A$2:$A$1001,MAXIFS(Scores!$A$2:$A$1001,Scores!$B$2:$B$1001,$A10,Scores!$C$2:$C$1001,T$1)),""))</f>
        <v/>
      </c>
      <c r="U10" s="4">
        <f>IF(OR($A10="",U$1=""),"",IFERROR(AVERAGEIFS(Scores!$G$2:$G$1001,Scores!$B$2:$B$1001,$A10,Scores!$C$2:$C$1001,U$1,Scores!$A$2:$A$1001,MAXIFS(Scores!$A$2:$A$1001,Scores!$B$2:$B$1001,$A10,Scores!$C$2:$C$1001,U$1)),""))</f>
        <v/>
      </c>
      <c r="V10" s="4">
        <f>IF(OR($A10="",V$1=""),"",IFERROR(AVERAGEIFS(Scores!$G$2:$G$1001,Scores!$B$2:$B$1001,$A10,Scores!$C$2:$C$1001,V$1,Scores!$A$2:$A$1001,MAXIFS(Scores!$A$2:$A$1001,Scores!$B$2:$B$1001,$A10,Scores!$C$2:$C$1001,V$1)),""))</f>
        <v/>
      </c>
      <c r="W10" s="4">
        <f>IF(OR($A10="",W$1=""),"",IFERROR(AVERAGEIFS(Scores!$G$2:$G$1001,Scores!$B$2:$B$1001,$A10,Scores!$C$2:$C$1001,W$1,Scores!$A$2:$A$1001,MAXIFS(Scores!$A$2:$A$1001,Scores!$B$2:$B$1001,$A10,Scores!$C$2:$C$1001,W$1)),""))</f>
        <v/>
      </c>
      <c r="X10" s="4">
        <f>IF(OR($A10="",X$1=""),"",IFERROR(AVERAGEIFS(Scores!$G$2:$G$1001,Scores!$B$2:$B$1001,$A10,Scores!$C$2:$C$1001,X$1,Scores!$A$2:$A$1001,MAXIFS(Scores!$A$2:$A$1001,Scores!$B$2:$B$1001,$A10,Scores!$C$2:$C$1001,X$1)),""))</f>
        <v/>
      </c>
      <c r="Y10" s="4">
        <f>IF(OR($A10="",Y$1=""),"",IFERROR(AVERAGEIFS(Scores!$G$2:$G$1001,Scores!$B$2:$B$1001,$A10,Scores!$C$2:$C$1001,Y$1,Scores!$A$2:$A$1001,MAXIFS(Scores!$A$2:$A$1001,Scores!$B$2:$B$1001,$A10,Scores!$C$2:$C$1001,Y$1)),""))</f>
        <v/>
      </c>
      <c r="Z10" s="4">
        <f>IF(OR($A10="",Z$1=""),"",IFERROR(AVERAGEIFS(Scores!$G$2:$G$1001,Scores!$B$2:$B$1001,$A10,Scores!$C$2:$C$1001,Z$1,Scores!$A$2:$A$1001,MAXIFS(Scores!$A$2:$A$1001,Scores!$B$2:$B$1001,$A10,Scores!$C$2:$C$1001,Z$1)),""))</f>
        <v/>
      </c>
      <c r="AA10" s="4">
        <f>IF(OR($A10="",AA$1=""),"",IFERROR(AVERAGEIFS(Scores!$G$2:$G$1001,Scores!$B$2:$B$1001,$A10,Scores!$C$2:$C$1001,AA$1,Scores!$A$2:$A$1001,MAXIFS(Scores!$A$2:$A$1001,Scores!$B$2:$B$1001,$A10,Scores!$C$2:$C$1001,AA$1)),""))</f>
        <v/>
      </c>
      <c r="AB10" s="4">
        <f>IF(OR($A10="",AB$1=""),"",IFERROR(AVERAGEIFS(Scores!$G$2:$G$1001,Scores!$B$2:$B$1001,$A10,Scores!$C$2:$C$1001,AB$1,Scores!$A$2:$A$1001,MAXIFS(Scores!$A$2:$A$1001,Scores!$B$2:$B$1001,$A10,Scores!$C$2:$C$1001,AB$1)),""))</f>
        <v/>
      </c>
      <c r="AC10" s="4">
        <f>IF(OR($A10="",AC$1=""),"",IFERROR(AVERAGEIFS(Scores!$G$2:$G$1001,Scores!$B$2:$B$1001,$A10,Scores!$C$2:$C$1001,AC$1,Scores!$A$2:$A$1001,MAXIFS(Scores!$A$2:$A$1001,Scores!$B$2:$B$1001,$A10,Scores!$C$2:$C$1001,AC$1)),""))</f>
        <v/>
      </c>
      <c r="AD10" s="4">
        <f>IF(OR($A10="",AD$1=""),"",IFERROR(AVERAGEIFS(Scores!$G$2:$G$1001,Scores!$B$2:$B$1001,$A10,Scores!$C$2:$C$1001,AD$1,Scores!$A$2:$A$1001,MAXIFS(Scores!$A$2:$A$1001,Scores!$B$2:$B$1001,$A10,Scores!$C$2:$C$1001,AD$1)),""))</f>
        <v/>
      </c>
      <c r="AE10" s="4">
        <f>IF(OR($A10="",AE$1=""),"",IFERROR(AVERAGEIFS(Scores!$G$2:$G$1001,Scores!$B$2:$B$1001,$A10,Scores!$C$2:$C$1001,AE$1,Scores!$A$2:$A$1001,MAXIFS(Scores!$A$2:$A$1001,Scores!$B$2:$B$1001,$A10,Scores!$C$2:$C$1001,AE$1)),""))</f>
        <v/>
      </c>
      <c r="AF10" s="6">
        <f>IF($A10="","",IFERROR(AVERAGE(B10:AE10),""))</f>
        <v/>
      </c>
    </row>
    <row r="11">
      <c r="A11" s="5">
        <f>IFERROR(Config!A11,"")</f>
        <v/>
      </c>
      <c r="B11" s="4">
        <f>IF(OR($A11="",B$1=""),"",IFERROR(AVERAGEIFS(Scores!$G$2:$G$1001,Scores!$B$2:$B$1001,$A11,Scores!$C$2:$C$1001,B$1,Scores!$A$2:$A$1001,MAXIFS(Scores!$A$2:$A$1001,Scores!$B$2:$B$1001,$A11,Scores!$C$2:$C$1001,B$1)),""))</f>
        <v/>
      </c>
      <c r="C11" s="4">
        <f>IF(OR($A11="",C$1=""),"",IFERROR(AVERAGEIFS(Scores!$G$2:$G$1001,Scores!$B$2:$B$1001,$A11,Scores!$C$2:$C$1001,C$1,Scores!$A$2:$A$1001,MAXIFS(Scores!$A$2:$A$1001,Scores!$B$2:$B$1001,$A11,Scores!$C$2:$C$1001,C$1)),""))</f>
        <v/>
      </c>
      <c r="D11" s="4">
        <f>IF(OR($A11="",D$1=""),"",IFERROR(AVERAGEIFS(Scores!$G$2:$G$1001,Scores!$B$2:$B$1001,$A11,Scores!$C$2:$C$1001,D$1,Scores!$A$2:$A$1001,MAXIFS(Scores!$A$2:$A$1001,Scores!$B$2:$B$1001,$A11,Scores!$C$2:$C$1001,D$1)),""))</f>
        <v/>
      </c>
      <c r="E11" s="4">
        <f>IF(OR($A11="",E$1=""),"",IFERROR(AVERAGEIFS(Scores!$G$2:$G$1001,Scores!$B$2:$B$1001,$A11,Scores!$C$2:$C$1001,E$1,Scores!$A$2:$A$1001,MAXIFS(Scores!$A$2:$A$1001,Scores!$B$2:$B$1001,$A11,Scores!$C$2:$C$1001,E$1)),""))</f>
        <v/>
      </c>
      <c r="F11" s="4">
        <f>IF(OR($A11="",F$1=""),"",IFERROR(AVERAGEIFS(Scores!$G$2:$G$1001,Scores!$B$2:$B$1001,$A11,Scores!$C$2:$C$1001,F$1,Scores!$A$2:$A$1001,MAXIFS(Scores!$A$2:$A$1001,Scores!$B$2:$B$1001,$A11,Scores!$C$2:$C$1001,F$1)),""))</f>
        <v/>
      </c>
      <c r="G11" s="4">
        <f>IF(OR($A11="",G$1=""),"",IFERROR(AVERAGEIFS(Scores!$G$2:$G$1001,Scores!$B$2:$B$1001,$A11,Scores!$C$2:$C$1001,G$1,Scores!$A$2:$A$1001,MAXIFS(Scores!$A$2:$A$1001,Scores!$B$2:$B$1001,$A11,Scores!$C$2:$C$1001,G$1)),""))</f>
        <v/>
      </c>
      <c r="H11" s="4">
        <f>IF(OR($A11="",H$1=""),"",IFERROR(AVERAGEIFS(Scores!$G$2:$G$1001,Scores!$B$2:$B$1001,$A11,Scores!$C$2:$C$1001,H$1,Scores!$A$2:$A$1001,MAXIFS(Scores!$A$2:$A$1001,Scores!$B$2:$B$1001,$A11,Scores!$C$2:$C$1001,H$1)),""))</f>
        <v/>
      </c>
      <c r="I11" s="4">
        <f>IF(OR($A11="",I$1=""),"",IFERROR(AVERAGEIFS(Scores!$G$2:$G$1001,Scores!$B$2:$B$1001,$A11,Scores!$C$2:$C$1001,I$1,Scores!$A$2:$A$1001,MAXIFS(Scores!$A$2:$A$1001,Scores!$B$2:$B$1001,$A11,Scores!$C$2:$C$1001,I$1)),""))</f>
        <v/>
      </c>
      <c r="J11" s="4">
        <f>IF(OR($A11="",J$1=""),"",IFERROR(AVERAGEIFS(Scores!$G$2:$G$1001,Scores!$B$2:$B$1001,$A11,Scores!$C$2:$C$1001,J$1,Scores!$A$2:$A$1001,MAXIFS(Scores!$A$2:$A$1001,Scores!$B$2:$B$1001,$A11,Scores!$C$2:$C$1001,J$1)),""))</f>
        <v/>
      </c>
      <c r="K11" s="4">
        <f>IF(OR($A11="",K$1=""),"",IFERROR(AVERAGEIFS(Scores!$G$2:$G$1001,Scores!$B$2:$B$1001,$A11,Scores!$C$2:$C$1001,K$1,Scores!$A$2:$A$1001,MAXIFS(Scores!$A$2:$A$1001,Scores!$B$2:$B$1001,$A11,Scores!$C$2:$C$1001,K$1)),""))</f>
        <v/>
      </c>
      <c r="L11" s="4">
        <f>IF(OR($A11="",L$1=""),"",IFERROR(AVERAGEIFS(Scores!$G$2:$G$1001,Scores!$B$2:$B$1001,$A11,Scores!$C$2:$C$1001,L$1,Scores!$A$2:$A$1001,MAXIFS(Scores!$A$2:$A$1001,Scores!$B$2:$B$1001,$A11,Scores!$C$2:$C$1001,L$1)),""))</f>
        <v/>
      </c>
      <c r="M11" s="4">
        <f>IF(OR($A11="",M$1=""),"",IFERROR(AVERAGEIFS(Scores!$G$2:$G$1001,Scores!$B$2:$B$1001,$A11,Scores!$C$2:$C$1001,M$1,Scores!$A$2:$A$1001,MAXIFS(Scores!$A$2:$A$1001,Scores!$B$2:$B$1001,$A11,Scores!$C$2:$C$1001,M$1)),""))</f>
        <v/>
      </c>
      <c r="N11" s="4">
        <f>IF(OR($A11="",N$1=""),"",IFERROR(AVERAGEIFS(Scores!$G$2:$G$1001,Scores!$B$2:$B$1001,$A11,Scores!$C$2:$C$1001,N$1,Scores!$A$2:$A$1001,MAXIFS(Scores!$A$2:$A$1001,Scores!$B$2:$B$1001,$A11,Scores!$C$2:$C$1001,N$1)),""))</f>
        <v/>
      </c>
      <c r="O11" s="4">
        <f>IF(OR($A11="",O$1=""),"",IFERROR(AVERAGEIFS(Scores!$G$2:$G$1001,Scores!$B$2:$B$1001,$A11,Scores!$C$2:$C$1001,O$1,Scores!$A$2:$A$1001,MAXIFS(Scores!$A$2:$A$1001,Scores!$B$2:$B$1001,$A11,Scores!$C$2:$C$1001,O$1)),""))</f>
        <v/>
      </c>
      <c r="P11" s="4">
        <f>IF(OR($A11="",P$1=""),"",IFERROR(AVERAGEIFS(Scores!$G$2:$G$1001,Scores!$B$2:$B$1001,$A11,Scores!$C$2:$C$1001,P$1,Scores!$A$2:$A$1001,MAXIFS(Scores!$A$2:$A$1001,Scores!$B$2:$B$1001,$A11,Scores!$C$2:$C$1001,P$1)),""))</f>
        <v/>
      </c>
      <c r="Q11" s="4">
        <f>IF(OR($A11="",Q$1=""),"",IFERROR(AVERAGEIFS(Scores!$G$2:$G$1001,Scores!$B$2:$B$1001,$A11,Scores!$C$2:$C$1001,Q$1,Scores!$A$2:$A$1001,MAXIFS(Scores!$A$2:$A$1001,Scores!$B$2:$B$1001,$A11,Scores!$C$2:$C$1001,Q$1)),""))</f>
        <v/>
      </c>
      <c r="R11" s="4">
        <f>IF(OR($A11="",R$1=""),"",IFERROR(AVERAGEIFS(Scores!$G$2:$G$1001,Scores!$B$2:$B$1001,$A11,Scores!$C$2:$C$1001,R$1,Scores!$A$2:$A$1001,MAXIFS(Scores!$A$2:$A$1001,Scores!$B$2:$B$1001,$A11,Scores!$C$2:$C$1001,R$1)),""))</f>
        <v/>
      </c>
      <c r="S11" s="4">
        <f>IF(OR($A11="",S$1=""),"",IFERROR(AVERAGEIFS(Scores!$G$2:$G$1001,Scores!$B$2:$B$1001,$A11,Scores!$C$2:$C$1001,S$1,Scores!$A$2:$A$1001,MAXIFS(Scores!$A$2:$A$1001,Scores!$B$2:$B$1001,$A11,Scores!$C$2:$C$1001,S$1)),""))</f>
        <v/>
      </c>
      <c r="T11" s="4">
        <f>IF(OR($A11="",T$1=""),"",IFERROR(AVERAGEIFS(Scores!$G$2:$G$1001,Scores!$B$2:$B$1001,$A11,Scores!$C$2:$C$1001,T$1,Scores!$A$2:$A$1001,MAXIFS(Scores!$A$2:$A$1001,Scores!$B$2:$B$1001,$A11,Scores!$C$2:$C$1001,T$1)),""))</f>
        <v/>
      </c>
      <c r="U11" s="4">
        <f>IF(OR($A11="",U$1=""),"",IFERROR(AVERAGEIFS(Scores!$G$2:$G$1001,Scores!$B$2:$B$1001,$A11,Scores!$C$2:$C$1001,U$1,Scores!$A$2:$A$1001,MAXIFS(Scores!$A$2:$A$1001,Scores!$B$2:$B$1001,$A11,Scores!$C$2:$C$1001,U$1)),""))</f>
        <v/>
      </c>
      <c r="V11" s="4">
        <f>IF(OR($A11="",V$1=""),"",IFERROR(AVERAGEIFS(Scores!$G$2:$G$1001,Scores!$B$2:$B$1001,$A11,Scores!$C$2:$C$1001,V$1,Scores!$A$2:$A$1001,MAXIFS(Scores!$A$2:$A$1001,Scores!$B$2:$B$1001,$A11,Scores!$C$2:$C$1001,V$1)),""))</f>
        <v/>
      </c>
      <c r="W11" s="4">
        <f>IF(OR($A11="",W$1=""),"",IFERROR(AVERAGEIFS(Scores!$G$2:$G$1001,Scores!$B$2:$B$1001,$A11,Scores!$C$2:$C$1001,W$1,Scores!$A$2:$A$1001,MAXIFS(Scores!$A$2:$A$1001,Scores!$B$2:$B$1001,$A11,Scores!$C$2:$C$1001,W$1)),""))</f>
        <v/>
      </c>
      <c r="X11" s="4">
        <f>IF(OR($A11="",X$1=""),"",IFERROR(AVERAGEIFS(Scores!$G$2:$G$1001,Scores!$B$2:$B$1001,$A11,Scores!$C$2:$C$1001,X$1,Scores!$A$2:$A$1001,MAXIFS(Scores!$A$2:$A$1001,Scores!$B$2:$B$1001,$A11,Scores!$C$2:$C$1001,X$1)),""))</f>
        <v/>
      </c>
      <c r="Y11" s="4">
        <f>IF(OR($A11="",Y$1=""),"",IFERROR(AVERAGEIFS(Scores!$G$2:$G$1001,Scores!$B$2:$B$1001,$A11,Scores!$C$2:$C$1001,Y$1,Scores!$A$2:$A$1001,MAXIFS(Scores!$A$2:$A$1001,Scores!$B$2:$B$1001,$A11,Scores!$C$2:$C$1001,Y$1)),""))</f>
        <v/>
      </c>
      <c r="Z11" s="4">
        <f>IF(OR($A11="",Z$1=""),"",IFERROR(AVERAGEIFS(Scores!$G$2:$G$1001,Scores!$B$2:$B$1001,$A11,Scores!$C$2:$C$1001,Z$1,Scores!$A$2:$A$1001,MAXIFS(Scores!$A$2:$A$1001,Scores!$B$2:$B$1001,$A11,Scores!$C$2:$C$1001,Z$1)),""))</f>
        <v/>
      </c>
      <c r="AA11" s="4">
        <f>IF(OR($A11="",AA$1=""),"",IFERROR(AVERAGEIFS(Scores!$G$2:$G$1001,Scores!$B$2:$B$1001,$A11,Scores!$C$2:$C$1001,AA$1,Scores!$A$2:$A$1001,MAXIFS(Scores!$A$2:$A$1001,Scores!$B$2:$B$1001,$A11,Scores!$C$2:$C$1001,AA$1)),""))</f>
        <v/>
      </c>
      <c r="AB11" s="4">
        <f>IF(OR($A11="",AB$1=""),"",IFERROR(AVERAGEIFS(Scores!$G$2:$G$1001,Scores!$B$2:$B$1001,$A11,Scores!$C$2:$C$1001,AB$1,Scores!$A$2:$A$1001,MAXIFS(Scores!$A$2:$A$1001,Scores!$B$2:$B$1001,$A11,Scores!$C$2:$C$1001,AB$1)),""))</f>
        <v/>
      </c>
      <c r="AC11" s="4">
        <f>IF(OR($A11="",AC$1=""),"",IFERROR(AVERAGEIFS(Scores!$G$2:$G$1001,Scores!$B$2:$B$1001,$A11,Scores!$C$2:$C$1001,AC$1,Scores!$A$2:$A$1001,MAXIFS(Scores!$A$2:$A$1001,Scores!$B$2:$B$1001,$A11,Scores!$C$2:$C$1001,AC$1)),""))</f>
        <v/>
      </c>
      <c r="AD11" s="4">
        <f>IF(OR($A11="",AD$1=""),"",IFERROR(AVERAGEIFS(Scores!$G$2:$G$1001,Scores!$B$2:$B$1001,$A11,Scores!$C$2:$C$1001,AD$1,Scores!$A$2:$A$1001,MAXIFS(Scores!$A$2:$A$1001,Scores!$B$2:$B$1001,$A11,Scores!$C$2:$C$1001,AD$1)),""))</f>
        <v/>
      </c>
      <c r="AE11" s="4">
        <f>IF(OR($A11="",AE$1=""),"",IFERROR(AVERAGEIFS(Scores!$G$2:$G$1001,Scores!$B$2:$B$1001,$A11,Scores!$C$2:$C$1001,AE$1,Scores!$A$2:$A$1001,MAXIFS(Scores!$A$2:$A$1001,Scores!$B$2:$B$1001,$A11,Scores!$C$2:$C$1001,AE$1)),""))</f>
        <v/>
      </c>
      <c r="AF11" s="6">
        <f>IF($A11="","",IFERROR(AVERAGE(B11:AE11),""))</f>
        <v/>
      </c>
    </row>
    <row r="12">
      <c r="A12" s="5">
        <f>IFERROR(Config!A12,"")</f>
        <v/>
      </c>
      <c r="B12" s="4">
        <f>IF(OR($A12="",B$1=""),"",IFERROR(AVERAGEIFS(Scores!$G$2:$G$1001,Scores!$B$2:$B$1001,$A12,Scores!$C$2:$C$1001,B$1,Scores!$A$2:$A$1001,MAXIFS(Scores!$A$2:$A$1001,Scores!$B$2:$B$1001,$A12,Scores!$C$2:$C$1001,B$1)),""))</f>
        <v/>
      </c>
      <c r="C12" s="4">
        <f>IF(OR($A12="",C$1=""),"",IFERROR(AVERAGEIFS(Scores!$G$2:$G$1001,Scores!$B$2:$B$1001,$A12,Scores!$C$2:$C$1001,C$1,Scores!$A$2:$A$1001,MAXIFS(Scores!$A$2:$A$1001,Scores!$B$2:$B$1001,$A12,Scores!$C$2:$C$1001,C$1)),""))</f>
        <v/>
      </c>
      <c r="D12" s="4">
        <f>IF(OR($A12="",D$1=""),"",IFERROR(AVERAGEIFS(Scores!$G$2:$G$1001,Scores!$B$2:$B$1001,$A12,Scores!$C$2:$C$1001,D$1,Scores!$A$2:$A$1001,MAXIFS(Scores!$A$2:$A$1001,Scores!$B$2:$B$1001,$A12,Scores!$C$2:$C$1001,D$1)),""))</f>
        <v/>
      </c>
      <c r="E12" s="4">
        <f>IF(OR($A12="",E$1=""),"",IFERROR(AVERAGEIFS(Scores!$G$2:$G$1001,Scores!$B$2:$B$1001,$A12,Scores!$C$2:$C$1001,E$1,Scores!$A$2:$A$1001,MAXIFS(Scores!$A$2:$A$1001,Scores!$B$2:$B$1001,$A12,Scores!$C$2:$C$1001,E$1)),""))</f>
        <v/>
      </c>
      <c r="F12" s="4">
        <f>IF(OR($A12="",F$1=""),"",IFERROR(AVERAGEIFS(Scores!$G$2:$G$1001,Scores!$B$2:$B$1001,$A12,Scores!$C$2:$C$1001,F$1,Scores!$A$2:$A$1001,MAXIFS(Scores!$A$2:$A$1001,Scores!$B$2:$B$1001,$A12,Scores!$C$2:$C$1001,F$1)),""))</f>
        <v/>
      </c>
      <c r="G12" s="4">
        <f>IF(OR($A12="",G$1=""),"",IFERROR(AVERAGEIFS(Scores!$G$2:$G$1001,Scores!$B$2:$B$1001,$A12,Scores!$C$2:$C$1001,G$1,Scores!$A$2:$A$1001,MAXIFS(Scores!$A$2:$A$1001,Scores!$B$2:$B$1001,$A12,Scores!$C$2:$C$1001,G$1)),""))</f>
        <v/>
      </c>
      <c r="H12" s="4">
        <f>IF(OR($A12="",H$1=""),"",IFERROR(AVERAGEIFS(Scores!$G$2:$G$1001,Scores!$B$2:$B$1001,$A12,Scores!$C$2:$C$1001,H$1,Scores!$A$2:$A$1001,MAXIFS(Scores!$A$2:$A$1001,Scores!$B$2:$B$1001,$A12,Scores!$C$2:$C$1001,H$1)),""))</f>
        <v/>
      </c>
      <c r="I12" s="4">
        <f>IF(OR($A12="",I$1=""),"",IFERROR(AVERAGEIFS(Scores!$G$2:$G$1001,Scores!$B$2:$B$1001,$A12,Scores!$C$2:$C$1001,I$1,Scores!$A$2:$A$1001,MAXIFS(Scores!$A$2:$A$1001,Scores!$B$2:$B$1001,$A12,Scores!$C$2:$C$1001,I$1)),""))</f>
        <v/>
      </c>
      <c r="J12" s="4">
        <f>IF(OR($A12="",J$1=""),"",IFERROR(AVERAGEIFS(Scores!$G$2:$G$1001,Scores!$B$2:$B$1001,$A12,Scores!$C$2:$C$1001,J$1,Scores!$A$2:$A$1001,MAXIFS(Scores!$A$2:$A$1001,Scores!$B$2:$B$1001,$A12,Scores!$C$2:$C$1001,J$1)),""))</f>
        <v/>
      </c>
      <c r="K12" s="4">
        <f>IF(OR($A12="",K$1=""),"",IFERROR(AVERAGEIFS(Scores!$G$2:$G$1001,Scores!$B$2:$B$1001,$A12,Scores!$C$2:$C$1001,K$1,Scores!$A$2:$A$1001,MAXIFS(Scores!$A$2:$A$1001,Scores!$B$2:$B$1001,$A12,Scores!$C$2:$C$1001,K$1)),""))</f>
        <v/>
      </c>
      <c r="L12" s="4">
        <f>IF(OR($A12="",L$1=""),"",IFERROR(AVERAGEIFS(Scores!$G$2:$G$1001,Scores!$B$2:$B$1001,$A12,Scores!$C$2:$C$1001,L$1,Scores!$A$2:$A$1001,MAXIFS(Scores!$A$2:$A$1001,Scores!$B$2:$B$1001,$A12,Scores!$C$2:$C$1001,L$1)),""))</f>
        <v/>
      </c>
      <c r="M12" s="4">
        <f>IF(OR($A12="",M$1=""),"",IFERROR(AVERAGEIFS(Scores!$G$2:$G$1001,Scores!$B$2:$B$1001,$A12,Scores!$C$2:$C$1001,M$1,Scores!$A$2:$A$1001,MAXIFS(Scores!$A$2:$A$1001,Scores!$B$2:$B$1001,$A12,Scores!$C$2:$C$1001,M$1)),""))</f>
        <v/>
      </c>
      <c r="N12" s="4">
        <f>IF(OR($A12="",N$1=""),"",IFERROR(AVERAGEIFS(Scores!$G$2:$G$1001,Scores!$B$2:$B$1001,$A12,Scores!$C$2:$C$1001,N$1,Scores!$A$2:$A$1001,MAXIFS(Scores!$A$2:$A$1001,Scores!$B$2:$B$1001,$A12,Scores!$C$2:$C$1001,N$1)),""))</f>
        <v/>
      </c>
      <c r="O12" s="4">
        <f>IF(OR($A12="",O$1=""),"",IFERROR(AVERAGEIFS(Scores!$G$2:$G$1001,Scores!$B$2:$B$1001,$A12,Scores!$C$2:$C$1001,O$1,Scores!$A$2:$A$1001,MAXIFS(Scores!$A$2:$A$1001,Scores!$B$2:$B$1001,$A12,Scores!$C$2:$C$1001,O$1)),""))</f>
        <v/>
      </c>
      <c r="P12" s="4">
        <f>IF(OR($A12="",P$1=""),"",IFERROR(AVERAGEIFS(Scores!$G$2:$G$1001,Scores!$B$2:$B$1001,$A12,Scores!$C$2:$C$1001,P$1,Scores!$A$2:$A$1001,MAXIFS(Scores!$A$2:$A$1001,Scores!$B$2:$B$1001,$A12,Scores!$C$2:$C$1001,P$1)),""))</f>
        <v/>
      </c>
      <c r="Q12" s="4">
        <f>IF(OR($A12="",Q$1=""),"",IFERROR(AVERAGEIFS(Scores!$G$2:$G$1001,Scores!$B$2:$B$1001,$A12,Scores!$C$2:$C$1001,Q$1,Scores!$A$2:$A$1001,MAXIFS(Scores!$A$2:$A$1001,Scores!$B$2:$B$1001,$A12,Scores!$C$2:$C$1001,Q$1)),""))</f>
        <v/>
      </c>
      <c r="R12" s="4">
        <f>IF(OR($A12="",R$1=""),"",IFERROR(AVERAGEIFS(Scores!$G$2:$G$1001,Scores!$B$2:$B$1001,$A12,Scores!$C$2:$C$1001,R$1,Scores!$A$2:$A$1001,MAXIFS(Scores!$A$2:$A$1001,Scores!$B$2:$B$1001,$A12,Scores!$C$2:$C$1001,R$1)),""))</f>
        <v/>
      </c>
      <c r="S12" s="4">
        <f>IF(OR($A12="",S$1=""),"",IFERROR(AVERAGEIFS(Scores!$G$2:$G$1001,Scores!$B$2:$B$1001,$A12,Scores!$C$2:$C$1001,S$1,Scores!$A$2:$A$1001,MAXIFS(Scores!$A$2:$A$1001,Scores!$B$2:$B$1001,$A12,Scores!$C$2:$C$1001,S$1)),""))</f>
        <v/>
      </c>
      <c r="T12" s="4">
        <f>IF(OR($A12="",T$1=""),"",IFERROR(AVERAGEIFS(Scores!$G$2:$G$1001,Scores!$B$2:$B$1001,$A12,Scores!$C$2:$C$1001,T$1,Scores!$A$2:$A$1001,MAXIFS(Scores!$A$2:$A$1001,Scores!$B$2:$B$1001,$A12,Scores!$C$2:$C$1001,T$1)),""))</f>
        <v/>
      </c>
      <c r="U12" s="4">
        <f>IF(OR($A12="",U$1=""),"",IFERROR(AVERAGEIFS(Scores!$G$2:$G$1001,Scores!$B$2:$B$1001,$A12,Scores!$C$2:$C$1001,U$1,Scores!$A$2:$A$1001,MAXIFS(Scores!$A$2:$A$1001,Scores!$B$2:$B$1001,$A12,Scores!$C$2:$C$1001,U$1)),""))</f>
        <v/>
      </c>
      <c r="V12" s="4">
        <f>IF(OR($A12="",V$1=""),"",IFERROR(AVERAGEIFS(Scores!$G$2:$G$1001,Scores!$B$2:$B$1001,$A12,Scores!$C$2:$C$1001,V$1,Scores!$A$2:$A$1001,MAXIFS(Scores!$A$2:$A$1001,Scores!$B$2:$B$1001,$A12,Scores!$C$2:$C$1001,V$1)),""))</f>
        <v/>
      </c>
      <c r="W12" s="4">
        <f>IF(OR($A12="",W$1=""),"",IFERROR(AVERAGEIFS(Scores!$G$2:$G$1001,Scores!$B$2:$B$1001,$A12,Scores!$C$2:$C$1001,W$1,Scores!$A$2:$A$1001,MAXIFS(Scores!$A$2:$A$1001,Scores!$B$2:$B$1001,$A12,Scores!$C$2:$C$1001,W$1)),""))</f>
        <v/>
      </c>
      <c r="X12" s="4">
        <f>IF(OR($A12="",X$1=""),"",IFERROR(AVERAGEIFS(Scores!$G$2:$G$1001,Scores!$B$2:$B$1001,$A12,Scores!$C$2:$C$1001,X$1,Scores!$A$2:$A$1001,MAXIFS(Scores!$A$2:$A$1001,Scores!$B$2:$B$1001,$A12,Scores!$C$2:$C$1001,X$1)),""))</f>
        <v/>
      </c>
      <c r="Y12" s="4">
        <f>IF(OR($A12="",Y$1=""),"",IFERROR(AVERAGEIFS(Scores!$G$2:$G$1001,Scores!$B$2:$B$1001,$A12,Scores!$C$2:$C$1001,Y$1,Scores!$A$2:$A$1001,MAXIFS(Scores!$A$2:$A$1001,Scores!$B$2:$B$1001,$A12,Scores!$C$2:$C$1001,Y$1)),""))</f>
        <v/>
      </c>
      <c r="Z12" s="4">
        <f>IF(OR($A12="",Z$1=""),"",IFERROR(AVERAGEIFS(Scores!$G$2:$G$1001,Scores!$B$2:$B$1001,$A12,Scores!$C$2:$C$1001,Z$1,Scores!$A$2:$A$1001,MAXIFS(Scores!$A$2:$A$1001,Scores!$B$2:$B$1001,$A12,Scores!$C$2:$C$1001,Z$1)),""))</f>
        <v/>
      </c>
      <c r="AA12" s="4">
        <f>IF(OR($A12="",AA$1=""),"",IFERROR(AVERAGEIFS(Scores!$G$2:$G$1001,Scores!$B$2:$B$1001,$A12,Scores!$C$2:$C$1001,AA$1,Scores!$A$2:$A$1001,MAXIFS(Scores!$A$2:$A$1001,Scores!$B$2:$B$1001,$A12,Scores!$C$2:$C$1001,AA$1)),""))</f>
        <v/>
      </c>
      <c r="AB12" s="4">
        <f>IF(OR($A12="",AB$1=""),"",IFERROR(AVERAGEIFS(Scores!$G$2:$G$1001,Scores!$B$2:$B$1001,$A12,Scores!$C$2:$C$1001,AB$1,Scores!$A$2:$A$1001,MAXIFS(Scores!$A$2:$A$1001,Scores!$B$2:$B$1001,$A12,Scores!$C$2:$C$1001,AB$1)),""))</f>
        <v/>
      </c>
      <c r="AC12" s="4">
        <f>IF(OR($A12="",AC$1=""),"",IFERROR(AVERAGEIFS(Scores!$G$2:$G$1001,Scores!$B$2:$B$1001,$A12,Scores!$C$2:$C$1001,AC$1,Scores!$A$2:$A$1001,MAXIFS(Scores!$A$2:$A$1001,Scores!$B$2:$B$1001,$A12,Scores!$C$2:$C$1001,AC$1)),""))</f>
        <v/>
      </c>
      <c r="AD12" s="4">
        <f>IF(OR($A12="",AD$1=""),"",IFERROR(AVERAGEIFS(Scores!$G$2:$G$1001,Scores!$B$2:$B$1001,$A12,Scores!$C$2:$C$1001,AD$1,Scores!$A$2:$A$1001,MAXIFS(Scores!$A$2:$A$1001,Scores!$B$2:$B$1001,$A12,Scores!$C$2:$C$1001,AD$1)),""))</f>
        <v/>
      </c>
      <c r="AE12" s="4">
        <f>IF(OR($A12="",AE$1=""),"",IFERROR(AVERAGEIFS(Scores!$G$2:$G$1001,Scores!$B$2:$B$1001,$A12,Scores!$C$2:$C$1001,AE$1,Scores!$A$2:$A$1001,MAXIFS(Scores!$A$2:$A$1001,Scores!$B$2:$B$1001,$A12,Scores!$C$2:$C$1001,AE$1)),""))</f>
        <v/>
      </c>
      <c r="AF12" s="6">
        <f>IF($A12="","",IFERROR(AVERAGE(B12:AE12),""))</f>
        <v/>
      </c>
    </row>
    <row r="13">
      <c r="A13" s="5">
        <f>IFERROR(Config!A13,"")</f>
        <v/>
      </c>
      <c r="B13" s="4">
        <f>IF(OR($A13="",B$1=""),"",IFERROR(AVERAGEIFS(Scores!$G$2:$G$1001,Scores!$B$2:$B$1001,$A13,Scores!$C$2:$C$1001,B$1,Scores!$A$2:$A$1001,MAXIFS(Scores!$A$2:$A$1001,Scores!$B$2:$B$1001,$A13,Scores!$C$2:$C$1001,B$1)),""))</f>
        <v/>
      </c>
      <c r="C13" s="4">
        <f>IF(OR($A13="",C$1=""),"",IFERROR(AVERAGEIFS(Scores!$G$2:$G$1001,Scores!$B$2:$B$1001,$A13,Scores!$C$2:$C$1001,C$1,Scores!$A$2:$A$1001,MAXIFS(Scores!$A$2:$A$1001,Scores!$B$2:$B$1001,$A13,Scores!$C$2:$C$1001,C$1)),""))</f>
        <v/>
      </c>
      <c r="D13" s="4">
        <f>IF(OR($A13="",D$1=""),"",IFERROR(AVERAGEIFS(Scores!$G$2:$G$1001,Scores!$B$2:$B$1001,$A13,Scores!$C$2:$C$1001,D$1,Scores!$A$2:$A$1001,MAXIFS(Scores!$A$2:$A$1001,Scores!$B$2:$B$1001,$A13,Scores!$C$2:$C$1001,D$1)),""))</f>
        <v/>
      </c>
      <c r="E13" s="4">
        <f>IF(OR($A13="",E$1=""),"",IFERROR(AVERAGEIFS(Scores!$G$2:$G$1001,Scores!$B$2:$B$1001,$A13,Scores!$C$2:$C$1001,E$1,Scores!$A$2:$A$1001,MAXIFS(Scores!$A$2:$A$1001,Scores!$B$2:$B$1001,$A13,Scores!$C$2:$C$1001,E$1)),""))</f>
        <v/>
      </c>
      <c r="F13" s="4">
        <f>IF(OR($A13="",F$1=""),"",IFERROR(AVERAGEIFS(Scores!$G$2:$G$1001,Scores!$B$2:$B$1001,$A13,Scores!$C$2:$C$1001,F$1,Scores!$A$2:$A$1001,MAXIFS(Scores!$A$2:$A$1001,Scores!$B$2:$B$1001,$A13,Scores!$C$2:$C$1001,F$1)),""))</f>
        <v/>
      </c>
      <c r="G13" s="4">
        <f>IF(OR($A13="",G$1=""),"",IFERROR(AVERAGEIFS(Scores!$G$2:$G$1001,Scores!$B$2:$B$1001,$A13,Scores!$C$2:$C$1001,G$1,Scores!$A$2:$A$1001,MAXIFS(Scores!$A$2:$A$1001,Scores!$B$2:$B$1001,$A13,Scores!$C$2:$C$1001,G$1)),""))</f>
        <v/>
      </c>
      <c r="H13" s="4">
        <f>IF(OR($A13="",H$1=""),"",IFERROR(AVERAGEIFS(Scores!$G$2:$G$1001,Scores!$B$2:$B$1001,$A13,Scores!$C$2:$C$1001,H$1,Scores!$A$2:$A$1001,MAXIFS(Scores!$A$2:$A$1001,Scores!$B$2:$B$1001,$A13,Scores!$C$2:$C$1001,H$1)),""))</f>
        <v/>
      </c>
      <c r="I13" s="4">
        <f>IF(OR($A13="",I$1=""),"",IFERROR(AVERAGEIFS(Scores!$G$2:$G$1001,Scores!$B$2:$B$1001,$A13,Scores!$C$2:$C$1001,I$1,Scores!$A$2:$A$1001,MAXIFS(Scores!$A$2:$A$1001,Scores!$B$2:$B$1001,$A13,Scores!$C$2:$C$1001,I$1)),""))</f>
        <v/>
      </c>
      <c r="J13" s="4">
        <f>IF(OR($A13="",J$1=""),"",IFERROR(AVERAGEIFS(Scores!$G$2:$G$1001,Scores!$B$2:$B$1001,$A13,Scores!$C$2:$C$1001,J$1,Scores!$A$2:$A$1001,MAXIFS(Scores!$A$2:$A$1001,Scores!$B$2:$B$1001,$A13,Scores!$C$2:$C$1001,J$1)),""))</f>
        <v/>
      </c>
      <c r="K13" s="4">
        <f>IF(OR($A13="",K$1=""),"",IFERROR(AVERAGEIFS(Scores!$G$2:$G$1001,Scores!$B$2:$B$1001,$A13,Scores!$C$2:$C$1001,K$1,Scores!$A$2:$A$1001,MAXIFS(Scores!$A$2:$A$1001,Scores!$B$2:$B$1001,$A13,Scores!$C$2:$C$1001,K$1)),""))</f>
        <v/>
      </c>
      <c r="L13" s="4">
        <f>IF(OR($A13="",L$1=""),"",IFERROR(AVERAGEIFS(Scores!$G$2:$G$1001,Scores!$B$2:$B$1001,$A13,Scores!$C$2:$C$1001,L$1,Scores!$A$2:$A$1001,MAXIFS(Scores!$A$2:$A$1001,Scores!$B$2:$B$1001,$A13,Scores!$C$2:$C$1001,L$1)),""))</f>
        <v/>
      </c>
      <c r="M13" s="4">
        <f>IF(OR($A13="",M$1=""),"",IFERROR(AVERAGEIFS(Scores!$G$2:$G$1001,Scores!$B$2:$B$1001,$A13,Scores!$C$2:$C$1001,M$1,Scores!$A$2:$A$1001,MAXIFS(Scores!$A$2:$A$1001,Scores!$B$2:$B$1001,$A13,Scores!$C$2:$C$1001,M$1)),""))</f>
        <v/>
      </c>
      <c r="N13" s="4">
        <f>IF(OR($A13="",N$1=""),"",IFERROR(AVERAGEIFS(Scores!$G$2:$G$1001,Scores!$B$2:$B$1001,$A13,Scores!$C$2:$C$1001,N$1,Scores!$A$2:$A$1001,MAXIFS(Scores!$A$2:$A$1001,Scores!$B$2:$B$1001,$A13,Scores!$C$2:$C$1001,N$1)),""))</f>
        <v/>
      </c>
      <c r="O13" s="4">
        <f>IF(OR($A13="",O$1=""),"",IFERROR(AVERAGEIFS(Scores!$G$2:$G$1001,Scores!$B$2:$B$1001,$A13,Scores!$C$2:$C$1001,O$1,Scores!$A$2:$A$1001,MAXIFS(Scores!$A$2:$A$1001,Scores!$B$2:$B$1001,$A13,Scores!$C$2:$C$1001,O$1)),""))</f>
        <v/>
      </c>
      <c r="P13" s="4">
        <f>IF(OR($A13="",P$1=""),"",IFERROR(AVERAGEIFS(Scores!$G$2:$G$1001,Scores!$B$2:$B$1001,$A13,Scores!$C$2:$C$1001,P$1,Scores!$A$2:$A$1001,MAXIFS(Scores!$A$2:$A$1001,Scores!$B$2:$B$1001,$A13,Scores!$C$2:$C$1001,P$1)),""))</f>
        <v/>
      </c>
      <c r="Q13" s="4">
        <f>IF(OR($A13="",Q$1=""),"",IFERROR(AVERAGEIFS(Scores!$G$2:$G$1001,Scores!$B$2:$B$1001,$A13,Scores!$C$2:$C$1001,Q$1,Scores!$A$2:$A$1001,MAXIFS(Scores!$A$2:$A$1001,Scores!$B$2:$B$1001,$A13,Scores!$C$2:$C$1001,Q$1)),""))</f>
        <v/>
      </c>
      <c r="R13" s="4">
        <f>IF(OR($A13="",R$1=""),"",IFERROR(AVERAGEIFS(Scores!$G$2:$G$1001,Scores!$B$2:$B$1001,$A13,Scores!$C$2:$C$1001,R$1,Scores!$A$2:$A$1001,MAXIFS(Scores!$A$2:$A$1001,Scores!$B$2:$B$1001,$A13,Scores!$C$2:$C$1001,R$1)),""))</f>
        <v/>
      </c>
      <c r="S13" s="4">
        <f>IF(OR($A13="",S$1=""),"",IFERROR(AVERAGEIFS(Scores!$G$2:$G$1001,Scores!$B$2:$B$1001,$A13,Scores!$C$2:$C$1001,S$1,Scores!$A$2:$A$1001,MAXIFS(Scores!$A$2:$A$1001,Scores!$B$2:$B$1001,$A13,Scores!$C$2:$C$1001,S$1)),""))</f>
        <v/>
      </c>
      <c r="T13" s="4">
        <f>IF(OR($A13="",T$1=""),"",IFERROR(AVERAGEIFS(Scores!$G$2:$G$1001,Scores!$B$2:$B$1001,$A13,Scores!$C$2:$C$1001,T$1,Scores!$A$2:$A$1001,MAXIFS(Scores!$A$2:$A$1001,Scores!$B$2:$B$1001,$A13,Scores!$C$2:$C$1001,T$1)),""))</f>
        <v/>
      </c>
      <c r="U13" s="4">
        <f>IF(OR($A13="",U$1=""),"",IFERROR(AVERAGEIFS(Scores!$G$2:$G$1001,Scores!$B$2:$B$1001,$A13,Scores!$C$2:$C$1001,U$1,Scores!$A$2:$A$1001,MAXIFS(Scores!$A$2:$A$1001,Scores!$B$2:$B$1001,$A13,Scores!$C$2:$C$1001,U$1)),""))</f>
        <v/>
      </c>
      <c r="V13" s="4">
        <f>IF(OR($A13="",V$1=""),"",IFERROR(AVERAGEIFS(Scores!$G$2:$G$1001,Scores!$B$2:$B$1001,$A13,Scores!$C$2:$C$1001,V$1,Scores!$A$2:$A$1001,MAXIFS(Scores!$A$2:$A$1001,Scores!$B$2:$B$1001,$A13,Scores!$C$2:$C$1001,V$1)),""))</f>
        <v/>
      </c>
      <c r="W13" s="4">
        <f>IF(OR($A13="",W$1=""),"",IFERROR(AVERAGEIFS(Scores!$G$2:$G$1001,Scores!$B$2:$B$1001,$A13,Scores!$C$2:$C$1001,W$1,Scores!$A$2:$A$1001,MAXIFS(Scores!$A$2:$A$1001,Scores!$B$2:$B$1001,$A13,Scores!$C$2:$C$1001,W$1)),""))</f>
        <v/>
      </c>
      <c r="X13" s="4">
        <f>IF(OR($A13="",X$1=""),"",IFERROR(AVERAGEIFS(Scores!$G$2:$G$1001,Scores!$B$2:$B$1001,$A13,Scores!$C$2:$C$1001,X$1,Scores!$A$2:$A$1001,MAXIFS(Scores!$A$2:$A$1001,Scores!$B$2:$B$1001,$A13,Scores!$C$2:$C$1001,X$1)),""))</f>
        <v/>
      </c>
      <c r="Y13" s="4">
        <f>IF(OR($A13="",Y$1=""),"",IFERROR(AVERAGEIFS(Scores!$G$2:$G$1001,Scores!$B$2:$B$1001,$A13,Scores!$C$2:$C$1001,Y$1,Scores!$A$2:$A$1001,MAXIFS(Scores!$A$2:$A$1001,Scores!$B$2:$B$1001,$A13,Scores!$C$2:$C$1001,Y$1)),""))</f>
        <v/>
      </c>
      <c r="Z13" s="4">
        <f>IF(OR($A13="",Z$1=""),"",IFERROR(AVERAGEIFS(Scores!$G$2:$G$1001,Scores!$B$2:$B$1001,$A13,Scores!$C$2:$C$1001,Z$1,Scores!$A$2:$A$1001,MAXIFS(Scores!$A$2:$A$1001,Scores!$B$2:$B$1001,$A13,Scores!$C$2:$C$1001,Z$1)),""))</f>
        <v/>
      </c>
      <c r="AA13" s="4">
        <f>IF(OR($A13="",AA$1=""),"",IFERROR(AVERAGEIFS(Scores!$G$2:$G$1001,Scores!$B$2:$B$1001,$A13,Scores!$C$2:$C$1001,AA$1,Scores!$A$2:$A$1001,MAXIFS(Scores!$A$2:$A$1001,Scores!$B$2:$B$1001,$A13,Scores!$C$2:$C$1001,AA$1)),""))</f>
        <v/>
      </c>
      <c r="AB13" s="4">
        <f>IF(OR($A13="",AB$1=""),"",IFERROR(AVERAGEIFS(Scores!$G$2:$G$1001,Scores!$B$2:$B$1001,$A13,Scores!$C$2:$C$1001,AB$1,Scores!$A$2:$A$1001,MAXIFS(Scores!$A$2:$A$1001,Scores!$B$2:$B$1001,$A13,Scores!$C$2:$C$1001,AB$1)),""))</f>
        <v/>
      </c>
      <c r="AC13" s="4">
        <f>IF(OR($A13="",AC$1=""),"",IFERROR(AVERAGEIFS(Scores!$G$2:$G$1001,Scores!$B$2:$B$1001,$A13,Scores!$C$2:$C$1001,AC$1,Scores!$A$2:$A$1001,MAXIFS(Scores!$A$2:$A$1001,Scores!$B$2:$B$1001,$A13,Scores!$C$2:$C$1001,AC$1)),""))</f>
        <v/>
      </c>
      <c r="AD13" s="4">
        <f>IF(OR($A13="",AD$1=""),"",IFERROR(AVERAGEIFS(Scores!$G$2:$G$1001,Scores!$B$2:$B$1001,$A13,Scores!$C$2:$C$1001,AD$1,Scores!$A$2:$A$1001,MAXIFS(Scores!$A$2:$A$1001,Scores!$B$2:$B$1001,$A13,Scores!$C$2:$C$1001,AD$1)),""))</f>
        <v/>
      </c>
      <c r="AE13" s="4">
        <f>IF(OR($A13="",AE$1=""),"",IFERROR(AVERAGEIFS(Scores!$G$2:$G$1001,Scores!$B$2:$B$1001,$A13,Scores!$C$2:$C$1001,AE$1,Scores!$A$2:$A$1001,MAXIFS(Scores!$A$2:$A$1001,Scores!$B$2:$B$1001,$A13,Scores!$C$2:$C$1001,AE$1)),""))</f>
        <v/>
      </c>
      <c r="AF13" s="6">
        <f>IF($A13="","",IFERROR(AVERAGE(B13:AE13),""))</f>
        <v/>
      </c>
    </row>
    <row r="14">
      <c r="A14" s="5">
        <f>IFERROR(Config!A14,"")</f>
        <v/>
      </c>
      <c r="B14" s="4">
        <f>IF(OR($A14="",B$1=""),"",IFERROR(AVERAGEIFS(Scores!$G$2:$G$1001,Scores!$B$2:$B$1001,$A14,Scores!$C$2:$C$1001,B$1,Scores!$A$2:$A$1001,MAXIFS(Scores!$A$2:$A$1001,Scores!$B$2:$B$1001,$A14,Scores!$C$2:$C$1001,B$1)),""))</f>
        <v/>
      </c>
      <c r="C14" s="4">
        <f>IF(OR($A14="",C$1=""),"",IFERROR(AVERAGEIFS(Scores!$G$2:$G$1001,Scores!$B$2:$B$1001,$A14,Scores!$C$2:$C$1001,C$1,Scores!$A$2:$A$1001,MAXIFS(Scores!$A$2:$A$1001,Scores!$B$2:$B$1001,$A14,Scores!$C$2:$C$1001,C$1)),""))</f>
        <v/>
      </c>
      <c r="D14" s="4">
        <f>IF(OR($A14="",D$1=""),"",IFERROR(AVERAGEIFS(Scores!$G$2:$G$1001,Scores!$B$2:$B$1001,$A14,Scores!$C$2:$C$1001,D$1,Scores!$A$2:$A$1001,MAXIFS(Scores!$A$2:$A$1001,Scores!$B$2:$B$1001,$A14,Scores!$C$2:$C$1001,D$1)),""))</f>
        <v/>
      </c>
      <c r="E14" s="4">
        <f>IF(OR($A14="",E$1=""),"",IFERROR(AVERAGEIFS(Scores!$G$2:$G$1001,Scores!$B$2:$B$1001,$A14,Scores!$C$2:$C$1001,E$1,Scores!$A$2:$A$1001,MAXIFS(Scores!$A$2:$A$1001,Scores!$B$2:$B$1001,$A14,Scores!$C$2:$C$1001,E$1)),""))</f>
        <v/>
      </c>
      <c r="F14" s="4">
        <f>IF(OR($A14="",F$1=""),"",IFERROR(AVERAGEIFS(Scores!$G$2:$G$1001,Scores!$B$2:$B$1001,$A14,Scores!$C$2:$C$1001,F$1,Scores!$A$2:$A$1001,MAXIFS(Scores!$A$2:$A$1001,Scores!$B$2:$B$1001,$A14,Scores!$C$2:$C$1001,F$1)),""))</f>
        <v/>
      </c>
      <c r="G14" s="4">
        <f>IF(OR($A14="",G$1=""),"",IFERROR(AVERAGEIFS(Scores!$G$2:$G$1001,Scores!$B$2:$B$1001,$A14,Scores!$C$2:$C$1001,G$1,Scores!$A$2:$A$1001,MAXIFS(Scores!$A$2:$A$1001,Scores!$B$2:$B$1001,$A14,Scores!$C$2:$C$1001,G$1)),""))</f>
        <v/>
      </c>
      <c r="H14" s="4">
        <f>IF(OR($A14="",H$1=""),"",IFERROR(AVERAGEIFS(Scores!$G$2:$G$1001,Scores!$B$2:$B$1001,$A14,Scores!$C$2:$C$1001,H$1,Scores!$A$2:$A$1001,MAXIFS(Scores!$A$2:$A$1001,Scores!$B$2:$B$1001,$A14,Scores!$C$2:$C$1001,H$1)),""))</f>
        <v/>
      </c>
      <c r="I14" s="4">
        <f>IF(OR($A14="",I$1=""),"",IFERROR(AVERAGEIFS(Scores!$G$2:$G$1001,Scores!$B$2:$B$1001,$A14,Scores!$C$2:$C$1001,I$1,Scores!$A$2:$A$1001,MAXIFS(Scores!$A$2:$A$1001,Scores!$B$2:$B$1001,$A14,Scores!$C$2:$C$1001,I$1)),""))</f>
        <v/>
      </c>
      <c r="J14" s="4">
        <f>IF(OR($A14="",J$1=""),"",IFERROR(AVERAGEIFS(Scores!$G$2:$G$1001,Scores!$B$2:$B$1001,$A14,Scores!$C$2:$C$1001,J$1,Scores!$A$2:$A$1001,MAXIFS(Scores!$A$2:$A$1001,Scores!$B$2:$B$1001,$A14,Scores!$C$2:$C$1001,J$1)),""))</f>
        <v/>
      </c>
      <c r="K14" s="4">
        <f>IF(OR($A14="",K$1=""),"",IFERROR(AVERAGEIFS(Scores!$G$2:$G$1001,Scores!$B$2:$B$1001,$A14,Scores!$C$2:$C$1001,K$1,Scores!$A$2:$A$1001,MAXIFS(Scores!$A$2:$A$1001,Scores!$B$2:$B$1001,$A14,Scores!$C$2:$C$1001,K$1)),""))</f>
        <v/>
      </c>
      <c r="L14" s="4">
        <f>IF(OR($A14="",L$1=""),"",IFERROR(AVERAGEIFS(Scores!$G$2:$G$1001,Scores!$B$2:$B$1001,$A14,Scores!$C$2:$C$1001,L$1,Scores!$A$2:$A$1001,MAXIFS(Scores!$A$2:$A$1001,Scores!$B$2:$B$1001,$A14,Scores!$C$2:$C$1001,L$1)),""))</f>
        <v/>
      </c>
      <c r="M14" s="4">
        <f>IF(OR($A14="",M$1=""),"",IFERROR(AVERAGEIFS(Scores!$G$2:$G$1001,Scores!$B$2:$B$1001,$A14,Scores!$C$2:$C$1001,M$1,Scores!$A$2:$A$1001,MAXIFS(Scores!$A$2:$A$1001,Scores!$B$2:$B$1001,$A14,Scores!$C$2:$C$1001,M$1)),""))</f>
        <v/>
      </c>
      <c r="N14" s="4">
        <f>IF(OR($A14="",N$1=""),"",IFERROR(AVERAGEIFS(Scores!$G$2:$G$1001,Scores!$B$2:$B$1001,$A14,Scores!$C$2:$C$1001,N$1,Scores!$A$2:$A$1001,MAXIFS(Scores!$A$2:$A$1001,Scores!$B$2:$B$1001,$A14,Scores!$C$2:$C$1001,N$1)),""))</f>
        <v/>
      </c>
      <c r="O14" s="4">
        <f>IF(OR($A14="",O$1=""),"",IFERROR(AVERAGEIFS(Scores!$G$2:$G$1001,Scores!$B$2:$B$1001,$A14,Scores!$C$2:$C$1001,O$1,Scores!$A$2:$A$1001,MAXIFS(Scores!$A$2:$A$1001,Scores!$B$2:$B$1001,$A14,Scores!$C$2:$C$1001,O$1)),""))</f>
        <v/>
      </c>
      <c r="P14" s="4">
        <f>IF(OR($A14="",P$1=""),"",IFERROR(AVERAGEIFS(Scores!$G$2:$G$1001,Scores!$B$2:$B$1001,$A14,Scores!$C$2:$C$1001,P$1,Scores!$A$2:$A$1001,MAXIFS(Scores!$A$2:$A$1001,Scores!$B$2:$B$1001,$A14,Scores!$C$2:$C$1001,P$1)),""))</f>
        <v/>
      </c>
      <c r="Q14" s="4">
        <f>IF(OR($A14="",Q$1=""),"",IFERROR(AVERAGEIFS(Scores!$G$2:$G$1001,Scores!$B$2:$B$1001,$A14,Scores!$C$2:$C$1001,Q$1,Scores!$A$2:$A$1001,MAXIFS(Scores!$A$2:$A$1001,Scores!$B$2:$B$1001,$A14,Scores!$C$2:$C$1001,Q$1)),""))</f>
        <v/>
      </c>
      <c r="R14" s="4">
        <f>IF(OR($A14="",R$1=""),"",IFERROR(AVERAGEIFS(Scores!$G$2:$G$1001,Scores!$B$2:$B$1001,$A14,Scores!$C$2:$C$1001,R$1,Scores!$A$2:$A$1001,MAXIFS(Scores!$A$2:$A$1001,Scores!$B$2:$B$1001,$A14,Scores!$C$2:$C$1001,R$1)),""))</f>
        <v/>
      </c>
      <c r="S14" s="4">
        <f>IF(OR($A14="",S$1=""),"",IFERROR(AVERAGEIFS(Scores!$G$2:$G$1001,Scores!$B$2:$B$1001,$A14,Scores!$C$2:$C$1001,S$1,Scores!$A$2:$A$1001,MAXIFS(Scores!$A$2:$A$1001,Scores!$B$2:$B$1001,$A14,Scores!$C$2:$C$1001,S$1)),""))</f>
        <v/>
      </c>
      <c r="T14" s="4">
        <f>IF(OR($A14="",T$1=""),"",IFERROR(AVERAGEIFS(Scores!$G$2:$G$1001,Scores!$B$2:$B$1001,$A14,Scores!$C$2:$C$1001,T$1,Scores!$A$2:$A$1001,MAXIFS(Scores!$A$2:$A$1001,Scores!$B$2:$B$1001,$A14,Scores!$C$2:$C$1001,T$1)),""))</f>
        <v/>
      </c>
      <c r="U14" s="4">
        <f>IF(OR($A14="",U$1=""),"",IFERROR(AVERAGEIFS(Scores!$G$2:$G$1001,Scores!$B$2:$B$1001,$A14,Scores!$C$2:$C$1001,U$1,Scores!$A$2:$A$1001,MAXIFS(Scores!$A$2:$A$1001,Scores!$B$2:$B$1001,$A14,Scores!$C$2:$C$1001,U$1)),""))</f>
        <v/>
      </c>
      <c r="V14" s="4">
        <f>IF(OR($A14="",V$1=""),"",IFERROR(AVERAGEIFS(Scores!$G$2:$G$1001,Scores!$B$2:$B$1001,$A14,Scores!$C$2:$C$1001,V$1,Scores!$A$2:$A$1001,MAXIFS(Scores!$A$2:$A$1001,Scores!$B$2:$B$1001,$A14,Scores!$C$2:$C$1001,V$1)),""))</f>
        <v/>
      </c>
      <c r="W14" s="4">
        <f>IF(OR($A14="",W$1=""),"",IFERROR(AVERAGEIFS(Scores!$G$2:$G$1001,Scores!$B$2:$B$1001,$A14,Scores!$C$2:$C$1001,W$1,Scores!$A$2:$A$1001,MAXIFS(Scores!$A$2:$A$1001,Scores!$B$2:$B$1001,$A14,Scores!$C$2:$C$1001,W$1)),""))</f>
        <v/>
      </c>
      <c r="X14" s="4">
        <f>IF(OR($A14="",X$1=""),"",IFERROR(AVERAGEIFS(Scores!$G$2:$G$1001,Scores!$B$2:$B$1001,$A14,Scores!$C$2:$C$1001,X$1,Scores!$A$2:$A$1001,MAXIFS(Scores!$A$2:$A$1001,Scores!$B$2:$B$1001,$A14,Scores!$C$2:$C$1001,X$1)),""))</f>
        <v/>
      </c>
      <c r="Y14" s="4">
        <f>IF(OR($A14="",Y$1=""),"",IFERROR(AVERAGEIFS(Scores!$G$2:$G$1001,Scores!$B$2:$B$1001,$A14,Scores!$C$2:$C$1001,Y$1,Scores!$A$2:$A$1001,MAXIFS(Scores!$A$2:$A$1001,Scores!$B$2:$B$1001,$A14,Scores!$C$2:$C$1001,Y$1)),""))</f>
        <v/>
      </c>
      <c r="Z14" s="4">
        <f>IF(OR($A14="",Z$1=""),"",IFERROR(AVERAGEIFS(Scores!$G$2:$G$1001,Scores!$B$2:$B$1001,$A14,Scores!$C$2:$C$1001,Z$1,Scores!$A$2:$A$1001,MAXIFS(Scores!$A$2:$A$1001,Scores!$B$2:$B$1001,$A14,Scores!$C$2:$C$1001,Z$1)),""))</f>
        <v/>
      </c>
      <c r="AA14" s="4">
        <f>IF(OR($A14="",AA$1=""),"",IFERROR(AVERAGEIFS(Scores!$G$2:$G$1001,Scores!$B$2:$B$1001,$A14,Scores!$C$2:$C$1001,AA$1,Scores!$A$2:$A$1001,MAXIFS(Scores!$A$2:$A$1001,Scores!$B$2:$B$1001,$A14,Scores!$C$2:$C$1001,AA$1)),""))</f>
        <v/>
      </c>
      <c r="AB14" s="4">
        <f>IF(OR($A14="",AB$1=""),"",IFERROR(AVERAGEIFS(Scores!$G$2:$G$1001,Scores!$B$2:$B$1001,$A14,Scores!$C$2:$C$1001,AB$1,Scores!$A$2:$A$1001,MAXIFS(Scores!$A$2:$A$1001,Scores!$B$2:$B$1001,$A14,Scores!$C$2:$C$1001,AB$1)),""))</f>
        <v/>
      </c>
      <c r="AC14" s="4">
        <f>IF(OR($A14="",AC$1=""),"",IFERROR(AVERAGEIFS(Scores!$G$2:$G$1001,Scores!$B$2:$B$1001,$A14,Scores!$C$2:$C$1001,AC$1,Scores!$A$2:$A$1001,MAXIFS(Scores!$A$2:$A$1001,Scores!$B$2:$B$1001,$A14,Scores!$C$2:$C$1001,AC$1)),""))</f>
        <v/>
      </c>
      <c r="AD14" s="4">
        <f>IF(OR($A14="",AD$1=""),"",IFERROR(AVERAGEIFS(Scores!$G$2:$G$1001,Scores!$B$2:$B$1001,$A14,Scores!$C$2:$C$1001,AD$1,Scores!$A$2:$A$1001,MAXIFS(Scores!$A$2:$A$1001,Scores!$B$2:$B$1001,$A14,Scores!$C$2:$C$1001,AD$1)),""))</f>
        <v/>
      </c>
      <c r="AE14" s="4">
        <f>IF(OR($A14="",AE$1=""),"",IFERROR(AVERAGEIFS(Scores!$G$2:$G$1001,Scores!$B$2:$B$1001,$A14,Scores!$C$2:$C$1001,AE$1,Scores!$A$2:$A$1001,MAXIFS(Scores!$A$2:$A$1001,Scores!$B$2:$B$1001,$A14,Scores!$C$2:$C$1001,AE$1)),""))</f>
        <v/>
      </c>
      <c r="AF14" s="6">
        <f>IF($A14="","",IFERROR(AVERAGE(B14:AE14),""))</f>
        <v/>
      </c>
    </row>
    <row r="15">
      <c r="A15" s="5">
        <f>IFERROR(Config!A15,"")</f>
        <v/>
      </c>
      <c r="B15" s="4">
        <f>IF(OR($A15="",B$1=""),"",IFERROR(AVERAGEIFS(Scores!$G$2:$G$1001,Scores!$B$2:$B$1001,$A15,Scores!$C$2:$C$1001,B$1,Scores!$A$2:$A$1001,MAXIFS(Scores!$A$2:$A$1001,Scores!$B$2:$B$1001,$A15,Scores!$C$2:$C$1001,B$1)),""))</f>
        <v/>
      </c>
      <c r="C15" s="4">
        <f>IF(OR($A15="",C$1=""),"",IFERROR(AVERAGEIFS(Scores!$G$2:$G$1001,Scores!$B$2:$B$1001,$A15,Scores!$C$2:$C$1001,C$1,Scores!$A$2:$A$1001,MAXIFS(Scores!$A$2:$A$1001,Scores!$B$2:$B$1001,$A15,Scores!$C$2:$C$1001,C$1)),""))</f>
        <v/>
      </c>
      <c r="D15" s="4">
        <f>IF(OR($A15="",D$1=""),"",IFERROR(AVERAGEIFS(Scores!$G$2:$G$1001,Scores!$B$2:$B$1001,$A15,Scores!$C$2:$C$1001,D$1,Scores!$A$2:$A$1001,MAXIFS(Scores!$A$2:$A$1001,Scores!$B$2:$B$1001,$A15,Scores!$C$2:$C$1001,D$1)),""))</f>
        <v/>
      </c>
      <c r="E15" s="4">
        <f>IF(OR($A15="",E$1=""),"",IFERROR(AVERAGEIFS(Scores!$G$2:$G$1001,Scores!$B$2:$B$1001,$A15,Scores!$C$2:$C$1001,E$1,Scores!$A$2:$A$1001,MAXIFS(Scores!$A$2:$A$1001,Scores!$B$2:$B$1001,$A15,Scores!$C$2:$C$1001,E$1)),""))</f>
        <v/>
      </c>
      <c r="F15" s="4">
        <f>IF(OR($A15="",F$1=""),"",IFERROR(AVERAGEIFS(Scores!$G$2:$G$1001,Scores!$B$2:$B$1001,$A15,Scores!$C$2:$C$1001,F$1,Scores!$A$2:$A$1001,MAXIFS(Scores!$A$2:$A$1001,Scores!$B$2:$B$1001,$A15,Scores!$C$2:$C$1001,F$1)),""))</f>
        <v/>
      </c>
      <c r="G15" s="4">
        <f>IF(OR($A15="",G$1=""),"",IFERROR(AVERAGEIFS(Scores!$G$2:$G$1001,Scores!$B$2:$B$1001,$A15,Scores!$C$2:$C$1001,G$1,Scores!$A$2:$A$1001,MAXIFS(Scores!$A$2:$A$1001,Scores!$B$2:$B$1001,$A15,Scores!$C$2:$C$1001,G$1)),""))</f>
        <v/>
      </c>
      <c r="H15" s="4">
        <f>IF(OR($A15="",H$1=""),"",IFERROR(AVERAGEIFS(Scores!$G$2:$G$1001,Scores!$B$2:$B$1001,$A15,Scores!$C$2:$C$1001,H$1,Scores!$A$2:$A$1001,MAXIFS(Scores!$A$2:$A$1001,Scores!$B$2:$B$1001,$A15,Scores!$C$2:$C$1001,H$1)),""))</f>
        <v/>
      </c>
      <c r="I15" s="4">
        <f>IF(OR($A15="",I$1=""),"",IFERROR(AVERAGEIFS(Scores!$G$2:$G$1001,Scores!$B$2:$B$1001,$A15,Scores!$C$2:$C$1001,I$1,Scores!$A$2:$A$1001,MAXIFS(Scores!$A$2:$A$1001,Scores!$B$2:$B$1001,$A15,Scores!$C$2:$C$1001,I$1)),""))</f>
        <v/>
      </c>
      <c r="J15" s="4">
        <f>IF(OR($A15="",J$1=""),"",IFERROR(AVERAGEIFS(Scores!$G$2:$G$1001,Scores!$B$2:$B$1001,$A15,Scores!$C$2:$C$1001,J$1,Scores!$A$2:$A$1001,MAXIFS(Scores!$A$2:$A$1001,Scores!$B$2:$B$1001,$A15,Scores!$C$2:$C$1001,J$1)),""))</f>
        <v/>
      </c>
      <c r="K15" s="4">
        <f>IF(OR($A15="",K$1=""),"",IFERROR(AVERAGEIFS(Scores!$G$2:$G$1001,Scores!$B$2:$B$1001,$A15,Scores!$C$2:$C$1001,K$1,Scores!$A$2:$A$1001,MAXIFS(Scores!$A$2:$A$1001,Scores!$B$2:$B$1001,$A15,Scores!$C$2:$C$1001,K$1)),""))</f>
        <v/>
      </c>
      <c r="L15" s="4">
        <f>IF(OR($A15="",L$1=""),"",IFERROR(AVERAGEIFS(Scores!$G$2:$G$1001,Scores!$B$2:$B$1001,$A15,Scores!$C$2:$C$1001,L$1,Scores!$A$2:$A$1001,MAXIFS(Scores!$A$2:$A$1001,Scores!$B$2:$B$1001,$A15,Scores!$C$2:$C$1001,L$1)),""))</f>
        <v/>
      </c>
      <c r="M15" s="4">
        <f>IF(OR($A15="",M$1=""),"",IFERROR(AVERAGEIFS(Scores!$G$2:$G$1001,Scores!$B$2:$B$1001,$A15,Scores!$C$2:$C$1001,M$1,Scores!$A$2:$A$1001,MAXIFS(Scores!$A$2:$A$1001,Scores!$B$2:$B$1001,$A15,Scores!$C$2:$C$1001,M$1)),""))</f>
        <v/>
      </c>
      <c r="N15" s="4">
        <f>IF(OR($A15="",N$1=""),"",IFERROR(AVERAGEIFS(Scores!$G$2:$G$1001,Scores!$B$2:$B$1001,$A15,Scores!$C$2:$C$1001,N$1,Scores!$A$2:$A$1001,MAXIFS(Scores!$A$2:$A$1001,Scores!$B$2:$B$1001,$A15,Scores!$C$2:$C$1001,N$1)),""))</f>
        <v/>
      </c>
      <c r="O15" s="4">
        <f>IF(OR($A15="",O$1=""),"",IFERROR(AVERAGEIFS(Scores!$G$2:$G$1001,Scores!$B$2:$B$1001,$A15,Scores!$C$2:$C$1001,O$1,Scores!$A$2:$A$1001,MAXIFS(Scores!$A$2:$A$1001,Scores!$B$2:$B$1001,$A15,Scores!$C$2:$C$1001,O$1)),""))</f>
        <v/>
      </c>
      <c r="P15" s="4">
        <f>IF(OR($A15="",P$1=""),"",IFERROR(AVERAGEIFS(Scores!$G$2:$G$1001,Scores!$B$2:$B$1001,$A15,Scores!$C$2:$C$1001,P$1,Scores!$A$2:$A$1001,MAXIFS(Scores!$A$2:$A$1001,Scores!$B$2:$B$1001,$A15,Scores!$C$2:$C$1001,P$1)),""))</f>
        <v/>
      </c>
      <c r="Q15" s="4">
        <f>IF(OR($A15="",Q$1=""),"",IFERROR(AVERAGEIFS(Scores!$G$2:$G$1001,Scores!$B$2:$B$1001,$A15,Scores!$C$2:$C$1001,Q$1,Scores!$A$2:$A$1001,MAXIFS(Scores!$A$2:$A$1001,Scores!$B$2:$B$1001,$A15,Scores!$C$2:$C$1001,Q$1)),""))</f>
        <v/>
      </c>
      <c r="R15" s="4">
        <f>IF(OR($A15="",R$1=""),"",IFERROR(AVERAGEIFS(Scores!$G$2:$G$1001,Scores!$B$2:$B$1001,$A15,Scores!$C$2:$C$1001,R$1,Scores!$A$2:$A$1001,MAXIFS(Scores!$A$2:$A$1001,Scores!$B$2:$B$1001,$A15,Scores!$C$2:$C$1001,R$1)),""))</f>
        <v/>
      </c>
      <c r="S15" s="4">
        <f>IF(OR($A15="",S$1=""),"",IFERROR(AVERAGEIFS(Scores!$G$2:$G$1001,Scores!$B$2:$B$1001,$A15,Scores!$C$2:$C$1001,S$1,Scores!$A$2:$A$1001,MAXIFS(Scores!$A$2:$A$1001,Scores!$B$2:$B$1001,$A15,Scores!$C$2:$C$1001,S$1)),""))</f>
        <v/>
      </c>
      <c r="T15" s="4">
        <f>IF(OR($A15="",T$1=""),"",IFERROR(AVERAGEIFS(Scores!$G$2:$G$1001,Scores!$B$2:$B$1001,$A15,Scores!$C$2:$C$1001,T$1,Scores!$A$2:$A$1001,MAXIFS(Scores!$A$2:$A$1001,Scores!$B$2:$B$1001,$A15,Scores!$C$2:$C$1001,T$1)),""))</f>
        <v/>
      </c>
      <c r="U15" s="4">
        <f>IF(OR($A15="",U$1=""),"",IFERROR(AVERAGEIFS(Scores!$G$2:$G$1001,Scores!$B$2:$B$1001,$A15,Scores!$C$2:$C$1001,U$1,Scores!$A$2:$A$1001,MAXIFS(Scores!$A$2:$A$1001,Scores!$B$2:$B$1001,$A15,Scores!$C$2:$C$1001,U$1)),""))</f>
        <v/>
      </c>
      <c r="V15" s="4">
        <f>IF(OR($A15="",V$1=""),"",IFERROR(AVERAGEIFS(Scores!$G$2:$G$1001,Scores!$B$2:$B$1001,$A15,Scores!$C$2:$C$1001,V$1,Scores!$A$2:$A$1001,MAXIFS(Scores!$A$2:$A$1001,Scores!$B$2:$B$1001,$A15,Scores!$C$2:$C$1001,V$1)),""))</f>
        <v/>
      </c>
      <c r="W15" s="4">
        <f>IF(OR($A15="",W$1=""),"",IFERROR(AVERAGEIFS(Scores!$G$2:$G$1001,Scores!$B$2:$B$1001,$A15,Scores!$C$2:$C$1001,W$1,Scores!$A$2:$A$1001,MAXIFS(Scores!$A$2:$A$1001,Scores!$B$2:$B$1001,$A15,Scores!$C$2:$C$1001,W$1)),""))</f>
        <v/>
      </c>
      <c r="X15" s="4">
        <f>IF(OR($A15="",X$1=""),"",IFERROR(AVERAGEIFS(Scores!$G$2:$G$1001,Scores!$B$2:$B$1001,$A15,Scores!$C$2:$C$1001,X$1,Scores!$A$2:$A$1001,MAXIFS(Scores!$A$2:$A$1001,Scores!$B$2:$B$1001,$A15,Scores!$C$2:$C$1001,X$1)),""))</f>
        <v/>
      </c>
      <c r="Y15" s="4">
        <f>IF(OR($A15="",Y$1=""),"",IFERROR(AVERAGEIFS(Scores!$G$2:$G$1001,Scores!$B$2:$B$1001,$A15,Scores!$C$2:$C$1001,Y$1,Scores!$A$2:$A$1001,MAXIFS(Scores!$A$2:$A$1001,Scores!$B$2:$B$1001,$A15,Scores!$C$2:$C$1001,Y$1)),""))</f>
        <v/>
      </c>
      <c r="Z15" s="4">
        <f>IF(OR($A15="",Z$1=""),"",IFERROR(AVERAGEIFS(Scores!$G$2:$G$1001,Scores!$B$2:$B$1001,$A15,Scores!$C$2:$C$1001,Z$1,Scores!$A$2:$A$1001,MAXIFS(Scores!$A$2:$A$1001,Scores!$B$2:$B$1001,$A15,Scores!$C$2:$C$1001,Z$1)),""))</f>
        <v/>
      </c>
      <c r="AA15" s="4">
        <f>IF(OR($A15="",AA$1=""),"",IFERROR(AVERAGEIFS(Scores!$G$2:$G$1001,Scores!$B$2:$B$1001,$A15,Scores!$C$2:$C$1001,AA$1,Scores!$A$2:$A$1001,MAXIFS(Scores!$A$2:$A$1001,Scores!$B$2:$B$1001,$A15,Scores!$C$2:$C$1001,AA$1)),""))</f>
        <v/>
      </c>
      <c r="AB15" s="4">
        <f>IF(OR($A15="",AB$1=""),"",IFERROR(AVERAGEIFS(Scores!$G$2:$G$1001,Scores!$B$2:$B$1001,$A15,Scores!$C$2:$C$1001,AB$1,Scores!$A$2:$A$1001,MAXIFS(Scores!$A$2:$A$1001,Scores!$B$2:$B$1001,$A15,Scores!$C$2:$C$1001,AB$1)),""))</f>
        <v/>
      </c>
      <c r="AC15" s="4">
        <f>IF(OR($A15="",AC$1=""),"",IFERROR(AVERAGEIFS(Scores!$G$2:$G$1001,Scores!$B$2:$B$1001,$A15,Scores!$C$2:$C$1001,AC$1,Scores!$A$2:$A$1001,MAXIFS(Scores!$A$2:$A$1001,Scores!$B$2:$B$1001,$A15,Scores!$C$2:$C$1001,AC$1)),""))</f>
        <v/>
      </c>
      <c r="AD15" s="4">
        <f>IF(OR($A15="",AD$1=""),"",IFERROR(AVERAGEIFS(Scores!$G$2:$G$1001,Scores!$B$2:$B$1001,$A15,Scores!$C$2:$C$1001,AD$1,Scores!$A$2:$A$1001,MAXIFS(Scores!$A$2:$A$1001,Scores!$B$2:$B$1001,$A15,Scores!$C$2:$C$1001,AD$1)),""))</f>
        <v/>
      </c>
      <c r="AE15" s="4">
        <f>IF(OR($A15="",AE$1=""),"",IFERROR(AVERAGEIFS(Scores!$G$2:$G$1001,Scores!$B$2:$B$1001,$A15,Scores!$C$2:$C$1001,AE$1,Scores!$A$2:$A$1001,MAXIFS(Scores!$A$2:$A$1001,Scores!$B$2:$B$1001,$A15,Scores!$C$2:$C$1001,AE$1)),""))</f>
        <v/>
      </c>
      <c r="AF15" s="6">
        <f>IF($A15="","",IFERROR(AVERAGE(B15:AE15),""))</f>
        <v/>
      </c>
    </row>
    <row r="16">
      <c r="A16" s="5">
        <f>IFERROR(Config!A16,"")</f>
        <v/>
      </c>
      <c r="B16" s="4">
        <f>IF(OR($A16="",B$1=""),"",IFERROR(AVERAGEIFS(Scores!$G$2:$G$1001,Scores!$B$2:$B$1001,$A16,Scores!$C$2:$C$1001,B$1,Scores!$A$2:$A$1001,MAXIFS(Scores!$A$2:$A$1001,Scores!$B$2:$B$1001,$A16,Scores!$C$2:$C$1001,B$1)),""))</f>
        <v/>
      </c>
      <c r="C16" s="4">
        <f>IF(OR($A16="",C$1=""),"",IFERROR(AVERAGEIFS(Scores!$G$2:$G$1001,Scores!$B$2:$B$1001,$A16,Scores!$C$2:$C$1001,C$1,Scores!$A$2:$A$1001,MAXIFS(Scores!$A$2:$A$1001,Scores!$B$2:$B$1001,$A16,Scores!$C$2:$C$1001,C$1)),""))</f>
        <v/>
      </c>
      <c r="D16" s="4">
        <f>IF(OR($A16="",D$1=""),"",IFERROR(AVERAGEIFS(Scores!$G$2:$G$1001,Scores!$B$2:$B$1001,$A16,Scores!$C$2:$C$1001,D$1,Scores!$A$2:$A$1001,MAXIFS(Scores!$A$2:$A$1001,Scores!$B$2:$B$1001,$A16,Scores!$C$2:$C$1001,D$1)),""))</f>
        <v/>
      </c>
      <c r="E16" s="4">
        <f>IF(OR($A16="",E$1=""),"",IFERROR(AVERAGEIFS(Scores!$G$2:$G$1001,Scores!$B$2:$B$1001,$A16,Scores!$C$2:$C$1001,E$1,Scores!$A$2:$A$1001,MAXIFS(Scores!$A$2:$A$1001,Scores!$B$2:$B$1001,$A16,Scores!$C$2:$C$1001,E$1)),""))</f>
        <v/>
      </c>
      <c r="F16" s="4">
        <f>IF(OR($A16="",F$1=""),"",IFERROR(AVERAGEIFS(Scores!$G$2:$G$1001,Scores!$B$2:$B$1001,$A16,Scores!$C$2:$C$1001,F$1,Scores!$A$2:$A$1001,MAXIFS(Scores!$A$2:$A$1001,Scores!$B$2:$B$1001,$A16,Scores!$C$2:$C$1001,F$1)),""))</f>
        <v/>
      </c>
      <c r="G16" s="4">
        <f>IF(OR($A16="",G$1=""),"",IFERROR(AVERAGEIFS(Scores!$G$2:$G$1001,Scores!$B$2:$B$1001,$A16,Scores!$C$2:$C$1001,G$1,Scores!$A$2:$A$1001,MAXIFS(Scores!$A$2:$A$1001,Scores!$B$2:$B$1001,$A16,Scores!$C$2:$C$1001,G$1)),""))</f>
        <v/>
      </c>
      <c r="H16" s="4">
        <f>IF(OR($A16="",H$1=""),"",IFERROR(AVERAGEIFS(Scores!$G$2:$G$1001,Scores!$B$2:$B$1001,$A16,Scores!$C$2:$C$1001,H$1,Scores!$A$2:$A$1001,MAXIFS(Scores!$A$2:$A$1001,Scores!$B$2:$B$1001,$A16,Scores!$C$2:$C$1001,H$1)),""))</f>
        <v/>
      </c>
      <c r="I16" s="4">
        <f>IF(OR($A16="",I$1=""),"",IFERROR(AVERAGEIFS(Scores!$G$2:$G$1001,Scores!$B$2:$B$1001,$A16,Scores!$C$2:$C$1001,I$1,Scores!$A$2:$A$1001,MAXIFS(Scores!$A$2:$A$1001,Scores!$B$2:$B$1001,$A16,Scores!$C$2:$C$1001,I$1)),""))</f>
        <v/>
      </c>
      <c r="J16" s="4">
        <f>IF(OR($A16="",J$1=""),"",IFERROR(AVERAGEIFS(Scores!$G$2:$G$1001,Scores!$B$2:$B$1001,$A16,Scores!$C$2:$C$1001,J$1,Scores!$A$2:$A$1001,MAXIFS(Scores!$A$2:$A$1001,Scores!$B$2:$B$1001,$A16,Scores!$C$2:$C$1001,J$1)),""))</f>
        <v/>
      </c>
      <c r="K16" s="4">
        <f>IF(OR($A16="",K$1=""),"",IFERROR(AVERAGEIFS(Scores!$G$2:$G$1001,Scores!$B$2:$B$1001,$A16,Scores!$C$2:$C$1001,K$1,Scores!$A$2:$A$1001,MAXIFS(Scores!$A$2:$A$1001,Scores!$B$2:$B$1001,$A16,Scores!$C$2:$C$1001,K$1)),""))</f>
        <v/>
      </c>
      <c r="L16" s="4">
        <f>IF(OR($A16="",L$1=""),"",IFERROR(AVERAGEIFS(Scores!$G$2:$G$1001,Scores!$B$2:$B$1001,$A16,Scores!$C$2:$C$1001,L$1,Scores!$A$2:$A$1001,MAXIFS(Scores!$A$2:$A$1001,Scores!$B$2:$B$1001,$A16,Scores!$C$2:$C$1001,L$1)),""))</f>
        <v/>
      </c>
      <c r="M16" s="4">
        <f>IF(OR($A16="",M$1=""),"",IFERROR(AVERAGEIFS(Scores!$G$2:$G$1001,Scores!$B$2:$B$1001,$A16,Scores!$C$2:$C$1001,M$1,Scores!$A$2:$A$1001,MAXIFS(Scores!$A$2:$A$1001,Scores!$B$2:$B$1001,$A16,Scores!$C$2:$C$1001,M$1)),""))</f>
        <v/>
      </c>
      <c r="N16" s="4">
        <f>IF(OR($A16="",N$1=""),"",IFERROR(AVERAGEIFS(Scores!$G$2:$G$1001,Scores!$B$2:$B$1001,$A16,Scores!$C$2:$C$1001,N$1,Scores!$A$2:$A$1001,MAXIFS(Scores!$A$2:$A$1001,Scores!$B$2:$B$1001,$A16,Scores!$C$2:$C$1001,N$1)),""))</f>
        <v/>
      </c>
      <c r="O16" s="4">
        <f>IF(OR($A16="",O$1=""),"",IFERROR(AVERAGEIFS(Scores!$G$2:$G$1001,Scores!$B$2:$B$1001,$A16,Scores!$C$2:$C$1001,O$1,Scores!$A$2:$A$1001,MAXIFS(Scores!$A$2:$A$1001,Scores!$B$2:$B$1001,$A16,Scores!$C$2:$C$1001,O$1)),""))</f>
        <v/>
      </c>
      <c r="P16" s="4">
        <f>IF(OR($A16="",P$1=""),"",IFERROR(AVERAGEIFS(Scores!$G$2:$G$1001,Scores!$B$2:$B$1001,$A16,Scores!$C$2:$C$1001,P$1,Scores!$A$2:$A$1001,MAXIFS(Scores!$A$2:$A$1001,Scores!$B$2:$B$1001,$A16,Scores!$C$2:$C$1001,P$1)),""))</f>
        <v/>
      </c>
      <c r="Q16" s="4">
        <f>IF(OR($A16="",Q$1=""),"",IFERROR(AVERAGEIFS(Scores!$G$2:$G$1001,Scores!$B$2:$B$1001,$A16,Scores!$C$2:$C$1001,Q$1,Scores!$A$2:$A$1001,MAXIFS(Scores!$A$2:$A$1001,Scores!$B$2:$B$1001,$A16,Scores!$C$2:$C$1001,Q$1)),""))</f>
        <v/>
      </c>
      <c r="R16" s="4">
        <f>IF(OR($A16="",R$1=""),"",IFERROR(AVERAGEIFS(Scores!$G$2:$G$1001,Scores!$B$2:$B$1001,$A16,Scores!$C$2:$C$1001,R$1,Scores!$A$2:$A$1001,MAXIFS(Scores!$A$2:$A$1001,Scores!$B$2:$B$1001,$A16,Scores!$C$2:$C$1001,R$1)),""))</f>
        <v/>
      </c>
      <c r="S16" s="4">
        <f>IF(OR($A16="",S$1=""),"",IFERROR(AVERAGEIFS(Scores!$G$2:$G$1001,Scores!$B$2:$B$1001,$A16,Scores!$C$2:$C$1001,S$1,Scores!$A$2:$A$1001,MAXIFS(Scores!$A$2:$A$1001,Scores!$B$2:$B$1001,$A16,Scores!$C$2:$C$1001,S$1)),""))</f>
        <v/>
      </c>
      <c r="T16" s="4">
        <f>IF(OR($A16="",T$1=""),"",IFERROR(AVERAGEIFS(Scores!$G$2:$G$1001,Scores!$B$2:$B$1001,$A16,Scores!$C$2:$C$1001,T$1,Scores!$A$2:$A$1001,MAXIFS(Scores!$A$2:$A$1001,Scores!$B$2:$B$1001,$A16,Scores!$C$2:$C$1001,T$1)),""))</f>
        <v/>
      </c>
      <c r="U16" s="4">
        <f>IF(OR($A16="",U$1=""),"",IFERROR(AVERAGEIFS(Scores!$G$2:$G$1001,Scores!$B$2:$B$1001,$A16,Scores!$C$2:$C$1001,U$1,Scores!$A$2:$A$1001,MAXIFS(Scores!$A$2:$A$1001,Scores!$B$2:$B$1001,$A16,Scores!$C$2:$C$1001,U$1)),""))</f>
        <v/>
      </c>
      <c r="V16" s="4">
        <f>IF(OR($A16="",V$1=""),"",IFERROR(AVERAGEIFS(Scores!$G$2:$G$1001,Scores!$B$2:$B$1001,$A16,Scores!$C$2:$C$1001,V$1,Scores!$A$2:$A$1001,MAXIFS(Scores!$A$2:$A$1001,Scores!$B$2:$B$1001,$A16,Scores!$C$2:$C$1001,V$1)),""))</f>
        <v/>
      </c>
      <c r="W16" s="4">
        <f>IF(OR($A16="",W$1=""),"",IFERROR(AVERAGEIFS(Scores!$G$2:$G$1001,Scores!$B$2:$B$1001,$A16,Scores!$C$2:$C$1001,W$1,Scores!$A$2:$A$1001,MAXIFS(Scores!$A$2:$A$1001,Scores!$B$2:$B$1001,$A16,Scores!$C$2:$C$1001,W$1)),""))</f>
        <v/>
      </c>
      <c r="X16" s="4">
        <f>IF(OR($A16="",X$1=""),"",IFERROR(AVERAGEIFS(Scores!$G$2:$G$1001,Scores!$B$2:$B$1001,$A16,Scores!$C$2:$C$1001,X$1,Scores!$A$2:$A$1001,MAXIFS(Scores!$A$2:$A$1001,Scores!$B$2:$B$1001,$A16,Scores!$C$2:$C$1001,X$1)),""))</f>
        <v/>
      </c>
      <c r="Y16" s="4">
        <f>IF(OR($A16="",Y$1=""),"",IFERROR(AVERAGEIFS(Scores!$G$2:$G$1001,Scores!$B$2:$B$1001,$A16,Scores!$C$2:$C$1001,Y$1,Scores!$A$2:$A$1001,MAXIFS(Scores!$A$2:$A$1001,Scores!$B$2:$B$1001,$A16,Scores!$C$2:$C$1001,Y$1)),""))</f>
        <v/>
      </c>
      <c r="Z16" s="4">
        <f>IF(OR($A16="",Z$1=""),"",IFERROR(AVERAGEIFS(Scores!$G$2:$G$1001,Scores!$B$2:$B$1001,$A16,Scores!$C$2:$C$1001,Z$1,Scores!$A$2:$A$1001,MAXIFS(Scores!$A$2:$A$1001,Scores!$B$2:$B$1001,$A16,Scores!$C$2:$C$1001,Z$1)),""))</f>
        <v/>
      </c>
      <c r="AA16" s="4">
        <f>IF(OR($A16="",AA$1=""),"",IFERROR(AVERAGEIFS(Scores!$G$2:$G$1001,Scores!$B$2:$B$1001,$A16,Scores!$C$2:$C$1001,AA$1,Scores!$A$2:$A$1001,MAXIFS(Scores!$A$2:$A$1001,Scores!$B$2:$B$1001,$A16,Scores!$C$2:$C$1001,AA$1)),""))</f>
        <v/>
      </c>
      <c r="AB16" s="4">
        <f>IF(OR($A16="",AB$1=""),"",IFERROR(AVERAGEIFS(Scores!$G$2:$G$1001,Scores!$B$2:$B$1001,$A16,Scores!$C$2:$C$1001,AB$1,Scores!$A$2:$A$1001,MAXIFS(Scores!$A$2:$A$1001,Scores!$B$2:$B$1001,$A16,Scores!$C$2:$C$1001,AB$1)),""))</f>
        <v/>
      </c>
      <c r="AC16" s="4">
        <f>IF(OR($A16="",AC$1=""),"",IFERROR(AVERAGEIFS(Scores!$G$2:$G$1001,Scores!$B$2:$B$1001,$A16,Scores!$C$2:$C$1001,AC$1,Scores!$A$2:$A$1001,MAXIFS(Scores!$A$2:$A$1001,Scores!$B$2:$B$1001,$A16,Scores!$C$2:$C$1001,AC$1)),""))</f>
        <v/>
      </c>
      <c r="AD16" s="4">
        <f>IF(OR($A16="",AD$1=""),"",IFERROR(AVERAGEIFS(Scores!$G$2:$G$1001,Scores!$B$2:$B$1001,$A16,Scores!$C$2:$C$1001,AD$1,Scores!$A$2:$A$1001,MAXIFS(Scores!$A$2:$A$1001,Scores!$B$2:$B$1001,$A16,Scores!$C$2:$C$1001,AD$1)),""))</f>
        <v/>
      </c>
      <c r="AE16" s="4">
        <f>IF(OR($A16="",AE$1=""),"",IFERROR(AVERAGEIFS(Scores!$G$2:$G$1001,Scores!$B$2:$B$1001,$A16,Scores!$C$2:$C$1001,AE$1,Scores!$A$2:$A$1001,MAXIFS(Scores!$A$2:$A$1001,Scores!$B$2:$B$1001,$A16,Scores!$C$2:$C$1001,AE$1)),""))</f>
        <v/>
      </c>
      <c r="AF16" s="6">
        <f>IF($A16="","",IFERROR(AVERAGE(B16:AE16),""))</f>
        <v/>
      </c>
    </row>
    <row r="17">
      <c r="A17" s="5">
        <f>IFERROR(Config!A17,"")</f>
        <v/>
      </c>
      <c r="B17" s="4">
        <f>IF(OR($A17="",B$1=""),"",IFERROR(AVERAGEIFS(Scores!$G$2:$G$1001,Scores!$B$2:$B$1001,$A17,Scores!$C$2:$C$1001,B$1,Scores!$A$2:$A$1001,MAXIFS(Scores!$A$2:$A$1001,Scores!$B$2:$B$1001,$A17,Scores!$C$2:$C$1001,B$1)),""))</f>
        <v/>
      </c>
      <c r="C17" s="4">
        <f>IF(OR($A17="",C$1=""),"",IFERROR(AVERAGEIFS(Scores!$G$2:$G$1001,Scores!$B$2:$B$1001,$A17,Scores!$C$2:$C$1001,C$1,Scores!$A$2:$A$1001,MAXIFS(Scores!$A$2:$A$1001,Scores!$B$2:$B$1001,$A17,Scores!$C$2:$C$1001,C$1)),""))</f>
        <v/>
      </c>
      <c r="D17" s="4">
        <f>IF(OR($A17="",D$1=""),"",IFERROR(AVERAGEIFS(Scores!$G$2:$G$1001,Scores!$B$2:$B$1001,$A17,Scores!$C$2:$C$1001,D$1,Scores!$A$2:$A$1001,MAXIFS(Scores!$A$2:$A$1001,Scores!$B$2:$B$1001,$A17,Scores!$C$2:$C$1001,D$1)),""))</f>
        <v/>
      </c>
      <c r="E17" s="4">
        <f>IF(OR($A17="",E$1=""),"",IFERROR(AVERAGEIFS(Scores!$G$2:$G$1001,Scores!$B$2:$B$1001,$A17,Scores!$C$2:$C$1001,E$1,Scores!$A$2:$A$1001,MAXIFS(Scores!$A$2:$A$1001,Scores!$B$2:$B$1001,$A17,Scores!$C$2:$C$1001,E$1)),""))</f>
        <v/>
      </c>
      <c r="F17" s="4">
        <f>IF(OR($A17="",F$1=""),"",IFERROR(AVERAGEIFS(Scores!$G$2:$G$1001,Scores!$B$2:$B$1001,$A17,Scores!$C$2:$C$1001,F$1,Scores!$A$2:$A$1001,MAXIFS(Scores!$A$2:$A$1001,Scores!$B$2:$B$1001,$A17,Scores!$C$2:$C$1001,F$1)),""))</f>
        <v/>
      </c>
      <c r="G17" s="4">
        <f>IF(OR($A17="",G$1=""),"",IFERROR(AVERAGEIFS(Scores!$G$2:$G$1001,Scores!$B$2:$B$1001,$A17,Scores!$C$2:$C$1001,G$1,Scores!$A$2:$A$1001,MAXIFS(Scores!$A$2:$A$1001,Scores!$B$2:$B$1001,$A17,Scores!$C$2:$C$1001,G$1)),""))</f>
        <v/>
      </c>
      <c r="H17" s="4">
        <f>IF(OR($A17="",H$1=""),"",IFERROR(AVERAGEIFS(Scores!$G$2:$G$1001,Scores!$B$2:$B$1001,$A17,Scores!$C$2:$C$1001,H$1,Scores!$A$2:$A$1001,MAXIFS(Scores!$A$2:$A$1001,Scores!$B$2:$B$1001,$A17,Scores!$C$2:$C$1001,H$1)),""))</f>
        <v/>
      </c>
      <c r="I17" s="4">
        <f>IF(OR($A17="",I$1=""),"",IFERROR(AVERAGEIFS(Scores!$G$2:$G$1001,Scores!$B$2:$B$1001,$A17,Scores!$C$2:$C$1001,I$1,Scores!$A$2:$A$1001,MAXIFS(Scores!$A$2:$A$1001,Scores!$B$2:$B$1001,$A17,Scores!$C$2:$C$1001,I$1)),""))</f>
        <v/>
      </c>
      <c r="J17" s="4">
        <f>IF(OR($A17="",J$1=""),"",IFERROR(AVERAGEIFS(Scores!$G$2:$G$1001,Scores!$B$2:$B$1001,$A17,Scores!$C$2:$C$1001,J$1,Scores!$A$2:$A$1001,MAXIFS(Scores!$A$2:$A$1001,Scores!$B$2:$B$1001,$A17,Scores!$C$2:$C$1001,J$1)),""))</f>
        <v/>
      </c>
      <c r="K17" s="4">
        <f>IF(OR($A17="",K$1=""),"",IFERROR(AVERAGEIFS(Scores!$G$2:$G$1001,Scores!$B$2:$B$1001,$A17,Scores!$C$2:$C$1001,K$1,Scores!$A$2:$A$1001,MAXIFS(Scores!$A$2:$A$1001,Scores!$B$2:$B$1001,$A17,Scores!$C$2:$C$1001,K$1)),""))</f>
        <v/>
      </c>
      <c r="L17" s="4">
        <f>IF(OR($A17="",L$1=""),"",IFERROR(AVERAGEIFS(Scores!$G$2:$G$1001,Scores!$B$2:$B$1001,$A17,Scores!$C$2:$C$1001,L$1,Scores!$A$2:$A$1001,MAXIFS(Scores!$A$2:$A$1001,Scores!$B$2:$B$1001,$A17,Scores!$C$2:$C$1001,L$1)),""))</f>
        <v/>
      </c>
      <c r="M17" s="4">
        <f>IF(OR($A17="",M$1=""),"",IFERROR(AVERAGEIFS(Scores!$G$2:$G$1001,Scores!$B$2:$B$1001,$A17,Scores!$C$2:$C$1001,M$1,Scores!$A$2:$A$1001,MAXIFS(Scores!$A$2:$A$1001,Scores!$B$2:$B$1001,$A17,Scores!$C$2:$C$1001,M$1)),""))</f>
        <v/>
      </c>
      <c r="N17" s="4">
        <f>IF(OR($A17="",N$1=""),"",IFERROR(AVERAGEIFS(Scores!$G$2:$G$1001,Scores!$B$2:$B$1001,$A17,Scores!$C$2:$C$1001,N$1,Scores!$A$2:$A$1001,MAXIFS(Scores!$A$2:$A$1001,Scores!$B$2:$B$1001,$A17,Scores!$C$2:$C$1001,N$1)),""))</f>
        <v/>
      </c>
      <c r="O17" s="4">
        <f>IF(OR($A17="",O$1=""),"",IFERROR(AVERAGEIFS(Scores!$G$2:$G$1001,Scores!$B$2:$B$1001,$A17,Scores!$C$2:$C$1001,O$1,Scores!$A$2:$A$1001,MAXIFS(Scores!$A$2:$A$1001,Scores!$B$2:$B$1001,$A17,Scores!$C$2:$C$1001,O$1)),""))</f>
        <v/>
      </c>
      <c r="P17" s="4">
        <f>IF(OR($A17="",P$1=""),"",IFERROR(AVERAGEIFS(Scores!$G$2:$G$1001,Scores!$B$2:$B$1001,$A17,Scores!$C$2:$C$1001,P$1,Scores!$A$2:$A$1001,MAXIFS(Scores!$A$2:$A$1001,Scores!$B$2:$B$1001,$A17,Scores!$C$2:$C$1001,P$1)),""))</f>
        <v/>
      </c>
      <c r="Q17" s="4">
        <f>IF(OR($A17="",Q$1=""),"",IFERROR(AVERAGEIFS(Scores!$G$2:$G$1001,Scores!$B$2:$B$1001,$A17,Scores!$C$2:$C$1001,Q$1,Scores!$A$2:$A$1001,MAXIFS(Scores!$A$2:$A$1001,Scores!$B$2:$B$1001,$A17,Scores!$C$2:$C$1001,Q$1)),""))</f>
        <v/>
      </c>
      <c r="R17" s="4">
        <f>IF(OR($A17="",R$1=""),"",IFERROR(AVERAGEIFS(Scores!$G$2:$G$1001,Scores!$B$2:$B$1001,$A17,Scores!$C$2:$C$1001,R$1,Scores!$A$2:$A$1001,MAXIFS(Scores!$A$2:$A$1001,Scores!$B$2:$B$1001,$A17,Scores!$C$2:$C$1001,R$1)),""))</f>
        <v/>
      </c>
      <c r="S17" s="4">
        <f>IF(OR($A17="",S$1=""),"",IFERROR(AVERAGEIFS(Scores!$G$2:$G$1001,Scores!$B$2:$B$1001,$A17,Scores!$C$2:$C$1001,S$1,Scores!$A$2:$A$1001,MAXIFS(Scores!$A$2:$A$1001,Scores!$B$2:$B$1001,$A17,Scores!$C$2:$C$1001,S$1)),""))</f>
        <v/>
      </c>
      <c r="T17" s="4">
        <f>IF(OR($A17="",T$1=""),"",IFERROR(AVERAGEIFS(Scores!$G$2:$G$1001,Scores!$B$2:$B$1001,$A17,Scores!$C$2:$C$1001,T$1,Scores!$A$2:$A$1001,MAXIFS(Scores!$A$2:$A$1001,Scores!$B$2:$B$1001,$A17,Scores!$C$2:$C$1001,T$1)),""))</f>
        <v/>
      </c>
      <c r="U17" s="4">
        <f>IF(OR($A17="",U$1=""),"",IFERROR(AVERAGEIFS(Scores!$G$2:$G$1001,Scores!$B$2:$B$1001,$A17,Scores!$C$2:$C$1001,U$1,Scores!$A$2:$A$1001,MAXIFS(Scores!$A$2:$A$1001,Scores!$B$2:$B$1001,$A17,Scores!$C$2:$C$1001,U$1)),""))</f>
        <v/>
      </c>
      <c r="V17" s="4">
        <f>IF(OR($A17="",V$1=""),"",IFERROR(AVERAGEIFS(Scores!$G$2:$G$1001,Scores!$B$2:$B$1001,$A17,Scores!$C$2:$C$1001,V$1,Scores!$A$2:$A$1001,MAXIFS(Scores!$A$2:$A$1001,Scores!$B$2:$B$1001,$A17,Scores!$C$2:$C$1001,V$1)),""))</f>
        <v/>
      </c>
      <c r="W17" s="4">
        <f>IF(OR($A17="",W$1=""),"",IFERROR(AVERAGEIFS(Scores!$G$2:$G$1001,Scores!$B$2:$B$1001,$A17,Scores!$C$2:$C$1001,W$1,Scores!$A$2:$A$1001,MAXIFS(Scores!$A$2:$A$1001,Scores!$B$2:$B$1001,$A17,Scores!$C$2:$C$1001,W$1)),""))</f>
        <v/>
      </c>
      <c r="X17" s="4">
        <f>IF(OR($A17="",X$1=""),"",IFERROR(AVERAGEIFS(Scores!$G$2:$G$1001,Scores!$B$2:$B$1001,$A17,Scores!$C$2:$C$1001,X$1,Scores!$A$2:$A$1001,MAXIFS(Scores!$A$2:$A$1001,Scores!$B$2:$B$1001,$A17,Scores!$C$2:$C$1001,X$1)),""))</f>
        <v/>
      </c>
      <c r="Y17" s="4">
        <f>IF(OR($A17="",Y$1=""),"",IFERROR(AVERAGEIFS(Scores!$G$2:$G$1001,Scores!$B$2:$B$1001,$A17,Scores!$C$2:$C$1001,Y$1,Scores!$A$2:$A$1001,MAXIFS(Scores!$A$2:$A$1001,Scores!$B$2:$B$1001,$A17,Scores!$C$2:$C$1001,Y$1)),""))</f>
        <v/>
      </c>
      <c r="Z17" s="4">
        <f>IF(OR($A17="",Z$1=""),"",IFERROR(AVERAGEIFS(Scores!$G$2:$G$1001,Scores!$B$2:$B$1001,$A17,Scores!$C$2:$C$1001,Z$1,Scores!$A$2:$A$1001,MAXIFS(Scores!$A$2:$A$1001,Scores!$B$2:$B$1001,$A17,Scores!$C$2:$C$1001,Z$1)),""))</f>
        <v/>
      </c>
      <c r="AA17" s="4">
        <f>IF(OR($A17="",AA$1=""),"",IFERROR(AVERAGEIFS(Scores!$G$2:$G$1001,Scores!$B$2:$B$1001,$A17,Scores!$C$2:$C$1001,AA$1,Scores!$A$2:$A$1001,MAXIFS(Scores!$A$2:$A$1001,Scores!$B$2:$B$1001,$A17,Scores!$C$2:$C$1001,AA$1)),""))</f>
        <v/>
      </c>
      <c r="AB17" s="4">
        <f>IF(OR($A17="",AB$1=""),"",IFERROR(AVERAGEIFS(Scores!$G$2:$G$1001,Scores!$B$2:$B$1001,$A17,Scores!$C$2:$C$1001,AB$1,Scores!$A$2:$A$1001,MAXIFS(Scores!$A$2:$A$1001,Scores!$B$2:$B$1001,$A17,Scores!$C$2:$C$1001,AB$1)),""))</f>
        <v/>
      </c>
      <c r="AC17" s="4">
        <f>IF(OR($A17="",AC$1=""),"",IFERROR(AVERAGEIFS(Scores!$G$2:$G$1001,Scores!$B$2:$B$1001,$A17,Scores!$C$2:$C$1001,AC$1,Scores!$A$2:$A$1001,MAXIFS(Scores!$A$2:$A$1001,Scores!$B$2:$B$1001,$A17,Scores!$C$2:$C$1001,AC$1)),""))</f>
        <v/>
      </c>
      <c r="AD17" s="4">
        <f>IF(OR($A17="",AD$1=""),"",IFERROR(AVERAGEIFS(Scores!$G$2:$G$1001,Scores!$B$2:$B$1001,$A17,Scores!$C$2:$C$1001,AD$1,Scores!$A$2:$A$1001,MAXIFS(Scores!$A$2:$A$1001,Scores!$B$2:$B$1001,$A17,Scores!$C$2:$C$1001,AD$1)),""))</f>
        <v/>
      </c>
      <c r="AE17" s="4">
        <f>IF(OR($A17="",AE$1=""),"",IFERROR(AVERAGEIFS(Scores!$G$2:$G$1001,Scores!$B$2:$B$1001,$A17,Scores!$C$2:$C$1001,AE$1,Scores!$A$2:$A$1001,MAXIFS(Scores!$A$2:$A$1001,Scores!$B$2:$B$1001,$A17,Scores!$C$2:$C$1001,AE$1)),""))</f>
        <v/>
      </c>
      <c r="AF17" s="6">
        <f>IF($A17="","",IFERROR(AVERAGE(B17:AE17),""))</f>
        <v/>
      </c>
    </row>
    <row r="18">
      <c r="A18" s="5">
        <f>IFERROR(Config!A18,"")</f>
        <v/>
      </c>
      <c r="B18" s="4">
        <f>IF(OR($A18="",B$1=""),"",IFERROR(AVERAGEIFS(Scores!$G$2:$G$1001,Scores!$B$2:$B$1001,$A18,Scores!$C$2:$C$1001,B$1,Scores!$A$2:$A$1001,MAXIFS(Scores!$A$2:$A$1001,Scores!$B$2:$B$1001,$A18,Scores!$C$2:$C$1001,B$1)),""))</f>
        <v/>
      </c>
      <c r="C18" s="4">
        <f>IF(OR($A18="",C$1=""),"",IFERROR(AVERAGEIFS(Scores!$G$2:$G$1001,Scores!$B$2:$B$1001,$A18,Scores!$C$2:$C$1001,C$1,Scores!$A$2:$A$1001,MAXIFS(Scores!$A$2:$A$1001,Scores!$B$2:$B$1001,$A18,Scores!$C$2:$C$1001,C$1)),""))</f>
        <v/>
      </c>
      <c r="D18" s="4">
        <f>IF(OR($A18="",D$1=""),"",IFERROR(AVERAGEIFS(Scores!$G$2:$G$1001,Scores!$B$2:$B$1001,$A18,Scores!$C$2:$C$1001,D$1,Scores!$A$2:$A$1001,MAXIFS(Scores!$A$2:$A$1001,Scores!$B$2:$B$1001,$A18,Scores!$C$2:$C$1001,D$1)),""))</f>
        <v/>
      </c>
      <c r="E18" s="4">
        <f>IF(OR($A18="",E$1=""),"",IFERROR(AVERAGEIFS(Scores!$G$2:$G$1001,Scores!$B$2:$B$1001,$A18,Scores!$C$2:$C$1001,E$1,Scores!$A$2:$A$1001,MAXIFS(Scores!$A$2:$A$1001,Scores!$B$2:$B$1001,$A18,Scores!$C$2:$C$1001,E$1)),""))</f>
        <v/>
      </c>
      <c r="F18" s="4">
        <f>IF(OR($A18="",F$1=""),"",IFERROR(AVERAGEIFS(Scores!$G$2:$G$1001,Scores!$B$2:$B$1001,$A18,Scores!$C$2:$C$1001,F$1,Scores!$A$2:$A$1001,MAXIFS(Scores!$A$2:$A$1001,Scores!$B$2:$B$1001,$A18,Scores!$C$2:$C$1001,F$1)),""))</f>
        <v/>
      </c>
      <c r="G18" s="4">
        <f>IF(OR($A18="",G$1=""),"",IFERROR(AVERAGEIFS(Scores!$G$2:$G$1001,Scores!$B$2:$B$1001,$A18,Scores!$C$2:$C$1001,G$1,Scores!$A$2:$A$1001,MAXIFS(Scores!$A$2:$A$1001,Scores!$B$2:$B$1001,$A18,Scores!$C$2:$C$1001,G$1)),""))</f>
        <v/>
      </c>
      <c r="H18" s="4">
        <f>IF(OR($A18="",H$1=""),"",IFERROR(AVERAGEIFS(Scores!$G$2:$G$1001,Scores!$B$2:$B$1001,$A18,Scores!$C$2:$C$1001,H$1,Scores!$A$2:$A$1001,MAXIFS(Scores!$A$2:$A$1001,Scores!$B$2:$B$1001,$A18,Scores!$C$2:$C$1001,H$1)),""))</f>
        <v/>
      </c>
      <c r="I18" s="4">
        <f>IF(OR($A18="",I$1=""),"",IFERROR(AVERAGEIFS(Scores!$G$2:$G$1001,Scores!$B$2:$B$1001,$A18,Scores!$C$2:$C$1001,I$1,Scores!$A$2:$A$1001,MAXIFS(Scores!$A$2:$A$1001,Scores!$B$2:$B$1001,$A18,Scores!$C$2:$C$1001,I$1)),""))</f>
        <v/>
      </c>
      <c r="J18" s="4">
        <f>IF(OR($A18="",J$1=""),"",IFERROR(AVERAGEIFS(Scores!$G$2:$G$1001,Scores!$B$2:$B$1001,$A18,Scores!$C$2:$C$1001,J$1,Scores!$A$2:$A$1001,MAXIFS(Scores!$A$2:$A$1001,Scores!$B$2:$B$1001,$A18,Scores!$C$2:$C$1001,J$1)),""))</f>
        <v/>
      </c>
      <c r="K18" s="4">
        <f>IF(OR($A18="",K$1=""),"",IFERROR(AVERAGEIFS(Scores!$G$2:$G$1001,Scores!$B$2:$B$1001,$A18,Scores!$C$2:$C$1001,K$1,Scores!$A$2:$A$1001,MAXIFS(Scores!$A$2:$A$1001,Scores!$B$2:$B$1001,$A18,Scores!$C$2:$C$1001,K$1)),""))</f>
        <v/>
      </c>
      <c r="L18" s="4">
        <f>IF(OR($A18="",L$1=""),"",IFERROR(AVERAGEIFS(Scores!$G$2:$G$1001,Scores!$B$2:$B$1001,$A18,Scores!$C$2:$C$1001,L$1,Scores!$A$2:$A$1001,MAXIFS(Scores!$A$2:$A$1001,Scores!$B$2:$B$1001,$A18,Scores!$C$2:$C$1001,L$1)),""))</f>
        <v/>
      </c>
      <c r="M18" s="4">
        <f>IF(OR($A18="",M$1=""),"",IFERROR(AVERAGEIFS(Scores!$G$2:$G$1001,Scores!$B$2:$B$1001,$A18,Scores!$C$2:$C$1001,M$1,Scores!$A$2:$A$1001,MAXIFS(Scores!$A$2:$A$1001,Scores!$B$2:$B$1001,$A18,Scores!$C$2:$C$1001,M$1)),""))</f>
        <v/>
      </c>
      <c r="N18" s="4">
        <f>IF(OR($A18="",N$1=""),"",IFERROR(AVERAGEIFS(Scores!$G$2:$G$1001,Scores!$B$2:$B$1001,$A18,Scores!$C$2:$C$1001,N$1,Scores!$A$2:$A$1001,MAXIFS(Scores!$A$2:$A$1001,Scores!$B$2:$B$1001,$A18,Scores!$C$2:$C$1001,N$1)),""))</f>
        <v/>
      </c>
      <c r="O18" s="4">
        <f>IF(OR($A18="",O$1=""),"",IFERROR(AVERAGEIFS(Scores!$G$2:$G$1001,Scores!$B$2:$B$1001,$A18,Scores!$C$2:$C$1001,O$1,Scores!$A$2:$A$1001,MAXIFS(Scores!$A$2:$A$1001,Scores!$B$2:$B$1001,$A18,Scores!$C$2:$C$1001,O$1)),""))</f>
        <v/>
      </c>
      <c r="P18" s="4">
        <f>IF(OR($A18="",P$1=""),"",IFERROR(AVERAGEIFS(Scores!$G$2:$G$1001,Scores!$B$2:$B$1001,$A18,Scores!$C$2:$C$1001,P$1,Scores!$A$2:$A$1001,MAXIFS(Scores!$A$2:$A$1001,Scores!$B$2:$B$1001,$A18,Scores!$C$2:$C$1001,P$1)),""))</f>
        <v/>
      </c>
      <c r="Q18" s="4">
        <f>IF(OR($A18="",Q$1=""),"",IFERROR(AVERAGEIFS(Scores!$G$2:$G$1001,Scores!$B$2:$B$1001,$A18,Scores!$C$2:$C$1001,Q$1,Scores!$A$2:$A$1001,MAXIFS(Scores!$A$2:$A$1001,Scores!$B$2:$B$1001,$A18,Scores!$C$2:$C$1001,Q$1)),""))</f>
        <v/>
      </c>
      <c r="R18" s="4">
        <f>IF(OR($A18="",R$1=""),"",IFERROR(AVERAGEIFS(Scores!$G$2:$G$1001,Scores!$B$2:$B$1001,$A18,Scores!$C$2:$C$1001,R$1,Scores!$A$2:$A$1001,MAXIFS(Scores!$A$2:$A$1001,Scores!$B$2:$B$1001,$A18,Scores!$C$2:$C$1001,R$1)),""))</f>
        <v/>
      </c>
      <c r="S18" s="4">
        <f>IF(OR($A18="",S$1=""),"",IFERROR(AVERAGEIFS(Scores!$G$2:$G$1001,Scores!$B$2:$B$1001,$A18,Scores!$C$2:$C$1001,S$1,Scores!$A$2:$A$1001,MAXIFS(Scores!$A$2:$A$1001,Scores!$B$2:$B$1001,$A18,Scores!$C$2:$C$1001,S$1)),""))</f>
        <v/>
      </c>
      <c r="T18" s="4">
        <f>IF(OR($A18="",T$1=""),"",IFERROR(AVERAGEIFS(Scores!$G$2:$G$1001,Scores!$B$2:$B$1001,$A18,Scores!$C$2:$C$1001,T$1,Scores!$A$2:$A$1001,MAXIFS(Scores!$A$2:$A$1001,Scores!$B$2:$B$1001,$A18,Scores!$C$2:$C$1001,T$1)),""))</f>
        <v/>
      </c>
      <c r="U18" s="4">
        <f>IF(OR($A18="",U$1=""),"",IFERROR(AVERAGEIFS(Scores!$G$2:$G$1001,Scores!$B$2:$B$1001,$A18,Scores!$C$2:$C$1001,U$1,Scores!$A$2:$A$1001,MAXIFS(Scores!$A$2:$A$1001,Scores!$B$2:$B$1001,$A18,Scores!$C$2:$C$1001,U$1)),""))</f>
        <v/>
      </c>
      <c r="V18" s="4">
        <f>IF(OR($A18="",V$1=""),"",IFERROR(AVERAGEIFS(Scores!$G$2:$G$1001,Scores!$B$2:$B$1001,$A18,Scores!$C$2:$C$1001,V$1,Scores!$A$2:$A$1001,MAXIFS(Scores!$A$2:$A$1001,Scores!$B$2:$B$1001,$A18,Scores!$C$2:$C$1001,V$1)),""))</f>
        <v/>
      </c>
      <c r="W18" s="4">
        <f>IF(OR($A18="",W$1=""),"",IFERROR(AVERAGEIFS(Scores!$G$2:$G$1001,Scores!$B$2:$B$1001,$A18,Scores!$C$2:$C$1001,W$1,Scores!$A$2:$A$1001,MAXIFS(Scores!$A$2:$A$1001,Scores!$B$2:$B$1001,$A18,Scores!$C$2:$C$1001,W$1)),""))</f>
        <v/>
      </c>
      <c r="X18" s="4">
        <f>IF(OR($A18="",X$1=""),"",IFERROR(AVERAGEIFS(Scores!$G$2:$G$1001,Scores!$B$2:$B$1001,$A18,Scores!$C$2:$C$1001,X$1,Scores!$A$2:$A$1001,MAXIFS(Scores!$A$2:$A$1001,Scores!$B$2:$B$1001,$A18,Scores!$C$2:$C$1001,X$1)),""))</f>
        <v/>
      </c>
      <c r="Y18" s="4">
        <f>IF(OR($A18="",Y$1=""),"",IFERROR(AVERAGEIFS(Scores!$G$2:$G$1001,Scores!$B$2:$B$1001,$A18,Scores!$C$2:$C$1001,Y$1,Scores!$A$2:$A$1001,MAXIFS(Scores!$A$2:$A$1001,Scores!$B$2:$B$1001,$A18,Scores!$C$2:$C$1001,Y$1)),""))</f>
        <v/>
      </c>
      <c r="Z18" s="4">
        <f>IF(OR($A18="",Z$1=""),"",IFERROR(AVERAGEIFS(Scores!$G$2:$G$1001,Scores!$B$2:$B$1001,$A18,Scores!$C$2:$C$1001,Z$1,Scores!$A$2:$A$1001,MAXIFS(Scores!$A$2:$A$1001,Scores!$B$2:$B$1001,$A18,Scores!$C$2:$C$1001,Z$1)),""))</f>
        <v/>
      </c>
      <c r="AA18" s="4">
        <f>IF(OR($A18="",AA$1=""),"",IFERROR(AVERAGEIFS(Scores!$G$2:$G$1001,Scores!$B$2:$B$1001,$A18,Scores!$C$2:$C$1001,AA$1,Scores!$A$2:$A$1001,MAXIFS(Scores!$A$2:$A$1001,Scores!$B$2:$B$1001,$A18,Scores!$C$2:$C$1001,AA$1)),""))</f>
        <v/>
      </c>
      <c r="AB18" s="4">
        <f>IF(OR($A18="",AB$1=""),"",IFERROR(AVERAGEIFS(Scores!$G$2:$G$1001,Scores!$B$2:$B$1001,$A18,Scores!$C$2:$C$1001,AB$1,Scores!$A$2:$A$1001,MAXIFS(Scores!$A$2:$A$1001,Scores!$B$2:$B$1001,$A18,Scores!$C$2:$C$1001,AB$1)),""))</f>
        <v/>
      </c>
      <c r="AC18" s="4">
        <f>IF(OR($A18="",AC$1=""),"",IFERROR(AVERAGEIFS(Scores!$G$2:$G$1001,Scores!$B$2:$B$1001,$A18,Scores!$C$2:$C$1001,AC$1,Scores!$A$2:$A$1001,MAXIFS(Scores!$A$2:$A$1001,Scores!$B$2:$B$1001,$A18,Scores!$C$2:$C$1001,AC$1)),""))</f>
        <v/>
      </c>
      <c r="AD18" s="4">
        <f>IF(OR($A18="",AD$1=""),"",IFERROR(AVERAGEIFS(Scores!$G$2:$G$1001,Scores!$B$2:$B$1001,$A18,Scores!$C$2:$C$1001,AD$1,Scores!$A$2:$A$1001,MAXIFS(Scores!$A$2:$A$1001,Scores!$B$2:$B$1001,$A18,Scores!$C$2:$C$1001,AD$1)),""))</f>
        <v/>
      </c>
      <c r="AE18" s="4">
        <f>IF(OR($A18="",AE$1=""),"",IFERROR(AVERAGEIFS(Scores!$G$2:$G$1001,Scores!$B$2:$B$1001,$A18,Scores!$C$2:$C$1001,AE$1,Scores!$A$2:$A$1001,MAXIFS(Scores!$A$2:$A$1001,Scores!$B$2:$B$1001,$A18,Scores!$C$2:$C$1001,AE$1)),""))</f>
        <v/>
      </c>
      <c r="AF18" s="6">
        <f>IF($A18="","",IFERROR(AVERAGE(B18:AE18),""))</f>
        <v/>
      </c>
    </row>
    <row r="19">
      <c r="A19" s="5">
        <f>IFERROR(Config!A19,"")</f>
        <v/>
      </c>
      <c r="B19" s="4">
        <f>IF(OR($A19="",B$1=""),"",IFERROR(AVERAGEIFS(Scores!$G$2:$G$1001,Scores!$B$2:$B$1001,$A19,Scores!$C$2:$C$1001,B$1,Scores!$A$2:$A$1001,MAXIFS(Scores!$A$2:$A$1001,Scores!$B$2:$B$1001,$A19,Scores!$C$2:$C$1001,B$1)),""))</f>
        <v/>
      </c>
      <c r="C19" s="4">
        <f>IF(OR($A19="",C$1=""),"",IFERROR(AVERAGEIFS(Scores!$G$2:$G$1001,Scores!$B$2:$B$1001,$A19,Scores!$C$2:$C$1001,C$1,Scores!$A$2:$A$1001,MAXIFS(Scores!$A$2:$A$1001,Scores!$B$2:$B$1001,$A19,Scores!$C$2:$C$1001,C$1)),""))</f>
        <v/>
      </c>
      <c r="D19" s="4">
        <f>IF(OR($A19="",D$1=""),"",IFERROR(AVERAGEIFS(Scores!$G$2:$G$1001,Scores!$B$2:$B$1001,$A19,Scores!$C$2:$C$1001,D$1,Scores!$A$2:$A$1001,MAXIFS(Scores!$A$2:$A$1001,Scores!$B$2:$B$1001,$A19,Scores!$C$2:$C$1001,D$1)),""))</f>
        <v/>
      </c>
      <c r="E19" s="4">
        <f>IF(OR($A19="",E$1=""),"",IFERROR(AVERAGEIFS(Scores!$G$2:$G$1001,Scores!$B$2:$B$1001,$A19,Scores!$C$2:$C$1001,E$1,Scores!$A$2:$A$1001,MAXIFS(Scores!$A$2:$A$1001,Scores!$B$2:$B$1001,$A19,Scores!$C$2:$C$1001,E$1)),""))</f>
        <v/>
      </c>
      <c r="F19" s="4">
        <f>IF(OR($A19="",F$1=""),"",IFERROR(AVERAGEIFS(Scores!$G$2:$G$1001,Scores!$B$2:$B$1001,$A19,Scores!$C$2:$C$1001,F$1,Scores!$A$2:$A$1001,MAXIFS(Scores!$A$2:$A$1001,Scores!$B$2:$B$1001,$A19,Scores!$C$2:$C$1001,F$1)),""))</f>
        <v/>
      </c>
      <c r="G19" s="4">
        <f>IF(OR($A19="",G$1=""),"",IFERROR(AVERAGEIFS(Scores!$G$2:$G$1001,Scores!$B$2:$B$1001,$A19,Scores!$C$2:$C$1001,G$1,Scores!$A$2:$A$1001,MAXIFS(Scores!$A$2:$A$1001,Scores!$B$2:$B$1001,$A19,Scores!$C$2:$C$1001,G$1)),""))</f>
        <v/>
      </c>
      <c r="H19" s="4">
        <f>IF(OR($A19="",H$1=""),"",IFERROR(AVERAGEIFS(Scores!$G$2:$G$1001,Scores!$B$2:$B$1001,$A19,Scores!$C$2:$C$1001,H$1,Scores!$A$2:$A$1001,MAXIFS(Scores!$A$2:$A$1001,Scores!$B$2:$B$1001,$A19,Scores!$C$2:$C$1001,H$1)),""))</f>
        <v/>
      </c>
      <c r="I19" s="4">
        <f>IF(OR($A19="",I$1=""),"",IFERROR(AVERAGEIFS(Scores!$G$2:$G$1001,Scores!$B$2:$B$1001,$A19,Scores!$C$2:$C$1001,I$1,Scores!$A$2:$A$1001,MAXIFS(Scores!$A$2:$A$1001,Scores!$B$2:$B$1001,$A19,Scores!$C$2:$C$1001,I$1)),""))</f>
        <v/>
      </c>
      <c r="J19" s="4">
        <f>IF(OR($A19="",J$1=""),"",IFERROR(AVERAGEIFS(Scores!$G$2:$G$1001,Scores!$B$2:$B$1001,$A19,Scores!$C$2:$C$1001,J$1,Scores!$A$2:$A$1001,MAXIFS(Scores!$A$2:$A$1001,Scores!$B$2:$B$1001,$A19,Scores!$C$2:$C$1001,J$1)),""))</f>
        <v/>
      </c>
      <c r="K19" s="4">
        <f>IF(OR($A19="",K$1=""),"",IFERROR(AVERAGEIFS(Scores!$G$2:$G$1001,Scores!$B$2:$B$1001,$A19,Scores!$C$2:$C$1001,K$1,Scores!$A$2:$A$1001,MAXIFS(Scores!$A$2:$A$1001,Scores!$B$2:$B$1001,$A19,Scores!$C$2:$C$1001,K$1)),""))</f>
        <v/>
      </c>
      <c r="L19" s="4">
        <f>IF(OR($A19="",L$1=""),"",IFERROR(AVERAGEIFS(Scores!$G$2:$G$1001,Scores!$B$2:$B$1001,$A19,Scores!$C$2:$C$1001,L$1,Scores!$A$2:$A$1001,MAXIFS(Scores!$A$2:$A$1001,Scores!$B$2:$B$1001,$A19,Scores!$C$2:$C$1001,L$1)),""))</f>
        <v/>
      </c>
      <c r="M19" s="4">
        <f>IF(OR($A19="",M$1=""),"",IFERROR(AVERAGEIFS(Scores!$G$2:$G$1001,Scores!$B$2:$B$1001,$A19,Scores!$C$2:$C$1001,M$1,Scores!$A$2:$A$1001,MAXIFS(Scores!$A$2:$A$1001,Scores!$B$2:$B$1001,$A19,Scores!$C$2:$C$1001,M$1)),""))</f>
        <v/>
      </c>
      <c r="N19" s="4">
        <f>IF(OR($A19="",N$1=""),"",IFERROR(AVERAGEIFS(Scores!$G$2:$G$1001,Scores!$B$2:$B$1001,$A19,Scores!$C$2:$C$1001,N$1,Scores!$A$2:$A$1001,MAXIFS(Scores!$A$2:$A$1001,Scores!$B$2:$B$1001,$A19,Scores!$C$2:$C$1001,N$1)),""))</f>
        <v/>
      </c>
      <c r="O19" s="4">
        <f>IF(OR($A19="",O$1=""),"",IFERROR(AVERAGEIFS(Scores!$G$2:$G$1001,Scores!$B$2:$B$1001,$A19,Scores!$C$2:$C$1001,O$1,Scores!$A$2:$A$1001,MAXIFS(Scores!$A$2:$A$1001,Scores!$B$2:$B$1001,$A19,Scores!$C$2:$C$1001,O$1)),""))</f>
        <v/>
      </c>
      <c r="P19" s="4">
        <f>IF(OR($A19="",P$1=""),"",IFERROR(AVERAGEIFS(Scores!$G$2:$G$1001,Scores!$B$2:$B$1001,$A19,Scores!$C$2:$C$1001,P$1,Scores!$A$2:$A$1001,MAXIFS(Scores!$A$2:$A$1001,Scores!$B$2:$B$1001,$A19,Scores!$C$2:$C$1001,P$1)),""))</f>
        <v/>
      </c>
      <c r="Q19" s="4">
        <f>IF(OR($A19="",Q$1=""),"",IFERROR(AVERAGEIFS(Scores!$G$2:$G$1001,Scores!$B$2:$B$1001,$A19,Scores!$C$2:$C$1001,Q$1,Scores!$A$2:$A$1001,MAXIFS(Scores!$A$2:$A$1001,Scores!$B$2:$B$1001,$A19,Scores!$C$2:$C$1001,Q$1)),""))</f>
        <v/>
      </c>
      <c r="R19" s="4">
        <f>IF(OR($A19="",R$1=""),"",IFERROR(AVERAGEIFS(Scores!$G$2:$G$1001,Scores!$B$2:$B$1001,$A19,Scores!$C$2:$C$1001,R$1,Scores!$A$2:$A$1001,MAXIFS(Scores!$A$2:$A$1001,Scores!$B$2:$B$1001,$A19,Scores!$C$2:$C$1001,R$1)),""))</f>
        <v/>
      </c>
      <c r="S19" s="4">
        <f>IF(OR($A19="",S$1=""),"",IFERROR(AVERAGEIFS(Scores!$G$2:$G$1001,Scores!$B$2:$B$1001,$A19,Scores!$C$2:$C$1001,S$1,Scores!$A$2:$A$1001,MAXIFS(Scores!$A$2:$A$1001,Scores!$B$2:$B$1001,$A19,Scores!$C$2:$C$1001,S$1)),""))</f>
        <v/>
      </c>
      <c r="T19" s="4">
        <f>IF(OR($A19="",T$1=""),"",IFERROR(AVERAGEIFS(Scores!$G$2:$G$1001,Scores!$B$2:$B$1001,$A19,Scores!$C$2:$C$1001,T$1,Scores!$A$2:$A$1001,MAXIFS(Scores!$A$2:$A$1001,Scores!$B$2:$B$1001,$A19,Scores!$C$2:$C$1001,T$1)),""))</f>
        <v/>
      </c>
      <c r="U19" s="4">
        <f>IF(OR($A19="",U$1=""),"",IFERROR(AVERAGEIFS(Scores!$G$2:$G$1001,Scores!$B$2:$B$1001,$A19,Scores!$C$2:$C$1001,U$1,Scores!$A$2:$A$1001,MAXIFS(Scores!$A$2:$A$1001,Scores!$B$2:$B$1001,$A19,Scores!$C$2:$C$1001,U$1)),""))</f>
        <v/>
      </c>
      <c r="V19" s="4">
        <f>IF(OR($A19="",V$1=""),"",IFERROR(AVERAGEIFS(Scores!$G$2:$G$1001,Scores!$B$2:$B$1001,$A19,Scores!$C$2:$C$1001,V$1,Scores!$A$2:$A$1001,MAXIFS(Scores!$A$2:$A$1001,Scores!$B$2:$B$1001,$A19,Scores!$C$2:$C$1001,V$1)),""))</f>
        <v/>
      </c>
      <c r="W19" s="4">
        <f>IF(OR($A19="",W$1=""),"",IFERROR(AVERAGEIFS(Scores!$G$2:$G$1001,Scores!$B$2:$B$1001,$A19,Scores!$C$2:$C$1001,W$1,Scores!$A$2:$A$1001,MAXIFS(Scores!$A$2:$A$1001,Scores!$B$2:$B$1001,$A19,Scores!$C$2:$C$1001,W$1)),""))</f>
        <v/>
      </c>
      <c r="X19" s="4">
        <f>IF(OR($A19="",X$1=""),"",IFERROR(AVERAGEIFS(Scores!$G$2:$G$1001,Scores!$B$2:$B$1001,$A19,Scores!$C$2:$C$1001,X$1,Scores!$A$2:$A$1001,MAXIFS(Scores!$A$2:$A$1001,Scores!$B$2:$B$1001,$A19,Scores!$C$2:$C$1001,X$1)),""))</f>
        <v/>
      </c>
      <c r="Y19" s="4">
        <f>IF(OR($A19="",Y$1=""),"",IFERROR(AVERAGEIFS(Scores!$G$2:$G$1001,Scores!$B$2:$B$1001,$A19,Scores!$C$2:$C$1001,Y$1,Scores!$A$2:$A$1001,MAXIFS(Scores!$A$2:$A$1001,Scores!$B$2:$B$1001,$A19,Scores!$C$2:$C$1001,Y$1)),""))</f>
        <v/>
      </c>
      <c r="Z19" s="4">
        <f>IF(OR($A19="",Z$1=""),"",IFERROR(AVERAGEIFS(Scores!$G$2:$G$1001,Scores!$B$2:$B$1001,$A19,Scores!$C$2:$C$1001,Z$1,Scores!$A$2:$A$1001,MAXIFS(Scores!$A$2:$A$1001,Scores!$B$2:$B$1001,$A19,Scores!$C$2:$C$1001,Z$1)),""))</f>
        <v/>
      </c>
      <c r="AA19" s="4">
        <f>IF(OR($A19="",AA$1=""),"",IFERROR(AVERAGEIFS(Scores!$G$2:$G$1001,Scores!$B$2:$B$1001,$A19,Scores!$C$2:$C$1001,AA$1,Scores!$A$2:$A$1001,MAXIFS(Scores!$A$2:$A$1001,Scores!$B$2:$B$1001,$A19,Scores!$C$2:$C$1001,AA$1)),""))</f>
        <v/>
      </c>
      <c r="AB19" s="4">
        <f>IF(OR($A19="",AB$1=""),"",IFERROR(AVERAGEIFS(Scores!$G$2:$G$1001,Scores!$B$2:$B$1001,$A19,Scores!$C$2:$C$1001,AB$1,Scores!$A$2:$A$1001,MAXIFS(Scores!$A$2:$A$1001,Scores!$B$2:$B$1001,$A19,Scores!$C$2:$C$1001,AB$1)),""))</f>
        <v/>
      </c>
      <c r="AC19" s="4">
        <f>IF(OR($A19="",AC$1=""),"",IFERROR(AVERAGEIFS(Scores!$G$2:$G$1001,Scores!$B$2:$B$1001,$A19,Scores!$C$2:$C$1001,AC$1,Scores!$A$2:$A$1001,MAXIFS(Scores!$A$2:$A$1001,Scores!$B$2:$B$1001,$A19,Scores!$C$2:$C$1001,AC$1)),""))</f>
        <v/>
      </c>
      <c r="AD19" s="4">
        <f>IF(OR($A19="",AD$1=""),"",IFERROR(AVERAGEIFS(Scores!$G$2:$G$1001,Scores!$B$2:$B$1001,$A19,Scores!$C$2:$C$1001,AD$1,Scores!$A$2:$A$1001,MAXIFS(Scores!$A$2:$A$1001,Scores!$B$2:$B$1001,$A19,Scores!$C$2:$C$1001,AD$1)),""))</f>
        <v/>
      </c>
      <c r="AE19" s="4">
        <f>IF(OR($A19="",AE$1=""),"",IFERROR(AVERAGEIFS(Scores!$G$2:$G$1001,Scores!$B$2:$B$1001,$A19,Scores!$C$2:$C$1001,AE$1,Scores!$A$2:$A$1001,MAXIFS(Scores!$A$2:$A$1001,Scores!$B$2:$B$1001,$A19,Scores!$C$2:$C$1001,AE$1)),""))</f>
        <v/>
      </c>
      <c r="AF19" s="6">
        <f>IF($A19="","",IFERROR(AVERAGE(B19:AE19),""))</f>
        <v/>
      </c>
    </row>
    <row r="20">
      <c r="A20" s="5">
        <f>IFERROR(Config!A20,"")</f>
        <v/>
      </c>
      <c r="B20" s="4">
        <f>IF(OR($A20="",B$1=""),"",IFERROR(AVERAGEIFS(Scores!$G$2:$G$1001,Scores!$B$2:$B$1001,$A20,Scores!$C$2:$C$1001,B$1,Scores!$A$2:$A$1001,MAXIFS(Scores!$A$2:$A$1001,Scores!$B$2:$B$1001,$A20,Scores!$C$2:$C$1001,B$1)),""))</f>
        <v/>
      </c>
      <c r="C20" s="4">
        <f>IF(OR($A20="",C$1=""),"",IFERROR(AVERAGEIFS(Scores!$G$2:$G$1001,Scores!$B$2:$B$1001,$A20,Scores!$C$2:$C$1001,C$1,Scores!$A$2:$A$1001,MAXIFS(Scores!$A$2:$A$1001,Scores!$B$2:$B$1001,$A20,Scores!$C$2:$C$1001,C$1)),""))</f>
        <v/>
      </c>
      <c r="D20" s="4">
        <f>IF(OR($A20="",D$1=""),"",IFERROR(AVERAGEIFS(Scores!$G$2:$G$1001,Scores!$B$2:$B$1001,$A20,Scores!$C$2:$C$1001,D$1,Scores!$A$2:$A$1001,MAXIFS(Scores!$A$2:$A$1001,Scores!$B$2:$B$1001,$A20,Scores!$C$2:$C$1001,D$1)),""))</f>
        <v/>
      </c>
      <c r="E20" s="4">
        <f>IF(OR($A20="",E$1=""),"",IFERROR(AVERAGEIFS(Scores!$G$2:$G$1001,Scores!$B$2:$B$1001,$A20,Scores!$C$2:$C$1001,E$1,Scores!$A$2:$A$1001,MAXIFS(Scores!$A$2:$A$1001,Scores!$B$2:$B$1001,$A20,Scores!$C$2:$C$1001,E$1)),""))</f>
        <v/>
      </c>
      <c r="F20" s="4">
        <f>IF(OR($A20="",F$1=""),"",IFERROR(AVERAGEIFS(Scores!$G$2:$G$1001,Scores!$B$2:$B$1001,$A20,Scores!$C$2:$C$1001,F$1,Scores!$A$2:$A$1001,MAXIFS(Scores!$A$2:$A$1001,Scores!$B$2:$B$1001,$A20,Scores!$C$2:$C$1001,F$1)),""))</f>
        <v/>
      </c>
      <c r="G20" s="4">
        <f>IF(OR($A20="",G$1=""),"",IFERROR(AVERAGEIFS(Scores!$G$2:$G$1001,Scores!$B$2:$B$1001,$A20,Scores!$C$2:$C$1001,G$1,Scores!$A$2:$A$1001,MAXIFS(Scores!$A$2:$A$1001,Scores!$B$2:$B$1001,$A20,Scores!$C$2:$C$1001,G$1)),""))</f>
        <v/>
      </c>
      <c r="H20" s="4">
        <f>IF(OR($A20="",H$1=""),"",IFERROR(AVERAGEIFS(Scores!$G$2:$G$1001,Scores!$B$2:$B$1001,$A20,Scores!$C$2:$C$1001,H$1,Scores!$A$2:$A$1001,MAXIFS(Scores!$A$2:$A$1001,Scores!$B$2:$B$1001,$A20,Scores!$C$2:$C$1001,H$1)),""))</f>
        <v/>
      </c>
      <c r="I20" s="4">
        <f>IF(OR($A20="",I$1=""),"",IFERROR(AVERAGEIFS(Scores!$G$2:$G$1001,Scores!$B$2:$B$1001,$A20,Scores!$C$2:$C$1001,I$1,Scores!$A$2:$A$1001,MAXIFS(Scores!$A$2:$A$1001,Scores!$B$2:$B$1001,$A20,Scores!$C$2:$C$1001,I$1)),""))</f>
        <v/>
      </c>
      <c r="J20" s="4">
        <f>IF(OR($A20="",J$1=""),"",IFERROR(AVERAGEIFS(Scores!$G$2:$G$1001,Scores!$B$2:$B$1001,$A20,Scores!$C$2:$C$1001,J$1,Scores!$A$2:$A$1001,MAXIFS(Scores!$A$2:$A$1001,Scores!$B$2:$B$1001,$A20,Scores!$C$2:$C$1001,J$1)),""))</f>
        <v/>
      </c>
      <c r="K20" s="4">
        <f>IF(OR($A20="",K$1=""),"",IFERROR(AVERAGEIFS(Scores!$G$2:$G$1001,Scores!$B$2:$B$1001,$A20,Scores!$C$2:$C$1001,K$1,Scores!$A$2:$A$1001,MAXIFS(Scores!$A$2:$A$1001,Scores!$B$2:$B$1001,$A20,Scores!$C$2:$C$1001,K$1)),""))</f>
        <v/>
      </c>
      <c r="L20" s="4">
        <f>IF(OR($A20="",L$1=""),"",IFERROR(AVERAGEIFS(Scores!$G$2:$G$1001,Scores!$B$2:$B$1001,$A20,Scores!$C$2:$C$1001,L$1,Scores!$A$2:$A$1001,MAXIFS(Scores!$A$2:$A$1001,Scores!$B$2:$B$1001,$A20,Scores!$C$2:$C$1001,L$1)),""))</f>
        <v/>
      </c>
      <c r="M20" s="4">
        <f>IF(OR($A20="",M$1=""),"",IFERROR(AVERAGEIFS(Scores!$G$2:$G$1001,Scores!$B$2:$B$1001,$A20,Scores!$C$2:$C$1001,M$1,Scores!$A$2:$A$1001,MAXIFS(Scores!$A$2:$A$1001,Scores!$B$2:$B$1001,$A20,Scores!$C$2:$C$1001,M$1)),""))</f>
        <v/>
      </c>
      <c r="N20" s="4">
        <f>IF(OR($A20="",N$1=""),"",IFERROR(AVERAGEIFS(Scores!$G$2:$G$1001,Scores!$B$2:$B$1001,$A20,Scores!$C$2:$C$1001,N$1,Scores!$A$2:$A$1001,MAXIFS(Scores!$A$2:$A$1001,Scores!$B$2:$B$1001,$A20,Scores!$C$2:$C$1001,N$1)),""))</f>
        <v/>
      </c>
      <c r="O20" s="4">
        <f>IF(OR($A20="",O$1=""),"",IFERROR(AVERAGEIFS(Scores!$G$2:$G$1001,Scores!$B$2:$B$1001,$A20,Scores!$C$2:$C$1001,O$1,Scores!$A$2:$A$1001,MAXIFS(Scores!$A$2:$A$1001,Scores!$B$2:$B$1001,$A20,Scores!$C$2:$C$1001,O$1)),""))</f>
        <v/>
      </c>
      <c r="P20" s="4">
        <f>IF(OR($A20="",P$1=""),"",IFERROR(AVERAGEIFS(Scores!$G$2:$G$1001,Scores!$B$2:$B$1001,$A20,Scores!$C$2:$C$1001,P$1,Scores!$A$2:$A$1001,MAXIFS(Scores!$A$2:$A$1001,Scores!$B$2:$B$1001,$A20,Scores!$C$2:$C$1001,P$1)),""))</f>
        <v/>
      </c>
      <c r="Q20" s="4">
        <f>IF(OR($A20="",Q$1=""),"",IFERROR(AVERAGEIFS(Scores!$G$2:$G$1001,Scores!$B$2:$B$1001,$A20,Scores!$C$2:$C$1001,Q$1,Scores!$A$2:$A$1001,MAXIFS(Scores!$A$2:$A$1001,Scores!$B$2:$B$1001,$A20,Scores!$C$2:$C$1001,Q$1)),""))</f>
        <v/>
      </c>
      <c r="R20" s="4">
        <f>IF(OR($A20="",R$1=""),"",IFERROR(AVERAGEIFS(Scores!$G$2:$G$1001,Scores!$B$2:$B$1001,$A20,Scores!$C$2:$C$1001,R$1,Scores!$A$2:$A$1001,MAXIFS(Scores!$A$2:$A$1001,Scores!$B$2:$B$1001,$A20,Scores!$C$2:$C$1001,R$1)),""))</f>
        <v/>
      </c>
      <c r="S20" s="4">
        <f>IF(OR($A20="",S$1=""),"",IFERROR(AVERAGEIFS(Scores!$G$2:$G$1001,Scores!$B$2:$B$1001,$A20,Scores!$C$2:$C$1001,S$1,Scores!$A$2:$A$1001,MAXIFS(Scores!$A$2:$A$1001,Scores!$B$2:$B$1001,$A20,Scores!$C$2:$C$1001,S$1)),""))</f>
        <v/>
      </c>
      <c r="T20" s="4">
        <f>IF(OR($A20="",T$1=""),"",IFERROR(AVERAGEIFS(Scores!$G$2:$G$1001,Scores!$B$2:$B$1001,$A20,Scores!$C$2:$C$1001,T$1,Scores!$A$2:$A$1001,MAXIFS(Scores!$A$2:$A$1001,Scores!$B$2:$B$1001,$A20,Scores!$C$2:$C$1001,T$1)),""))</f>
        <v/>
      </c>
      <c r="U20" s="4">
        <f>IF(OR($A20="",U$1=""),"",IFERROR(AVERAGEIFS(Scores!$G$2:$G$1001,Scores!$B$2:$B$1001,$A20,Scores!$C$2:$C$1001,U$1,Scores!$A$2:$A$1001,MAXIFS(Scores!$A$2:$A$1001,Scores!$B$2:$B$1001,$A20,Scores!$C$2:$C$1001,U$1)),""))</f>
        <v/>
      </c>
      <c r="V20" s="4">
        <f>IF(OR($A20="",V$1=""),"",IFERROR(AVERAGEIFS(Scores!$G$2:$G$1001,Scores!$B$2:$B$1001,$A20,Scores!$C$2:$C$1001,V$1,Scores!$A$2:$A$1001,MAXIFS(Scores!$A$2:$A$1001,Scores!$B$2:$B$1001,$A20,Scores!$C$2:$C$1001,V$1)),""))</f>
        <v/>
      </c>
      <c r="W20" s="4">
        <f>IF(OR($A20="",W$1=""),"",IFERROR(AVERAGEIFS(Scores!$G$2:$G$1001,Scores!$B$2:$B$1001,$A20,Scores!$C$2:$C$1001,W$1,Scores!$A$2:$A$1001,MAXIFS(Scores!$A$2:$A$1001,Scores!$B$2:$B$1001,$A20,Scores!$C$2:$C$1001,W$1)),""))</f>
        <v/>
      </c>
      <c r="X20" s="4">
        <f>IF(OR($A20="",X$1=""),"",IFERROR(AVERAGEIFS(Scores!$G$2:$G$1001,Scores!$B$2:$B$1001,$A20,Scores!$C$2:$C$1001,X$1,Scores!$A$2:$A$1001,MAXIFS(Scores!$A$2:$A$1001,Scores!$B$2:$B$1001,$A20,Scores!$C$2:$C$1001,X$1)),""))</f>
        <v/>
      </c>
      <c r="Y20" s="4">
        <f>IF(OR($A20="",Y$1=""),"",IFERROR(AVERAGEIFS(Scores!$G$2:$G$1001,Scores!$B$2:$B$1001,$A20,Scores!$C$2:$C$1001,Y$1,Scores!$A$2:$A$1001,MAXIFS(Scores!$A$2:$A$1001,Scores!$B$2:$B$1001,$A20,Scores!$C$2:$C$1001,Y$1)),""))</f>
        <v/>
      </c>
      <c r="Z20" s="4">
        <f>IF(OR($A20="",Z$1=""),"",IFERROR(AVERAGEIFS(Scores!$G$2:$G$1001,Scores!$B$2:$B$1001,$A20,Scores!$C$2:$C$1001,Z$1,Scores!$A$2:$A$1001,MAXIFS(Scores!$A$2:$A$1001,Scores!$B$2:$B$1001,$A20,Scores!$C$2:$C$1001,Z$1)),""))</f>
        <v/>
      </c>
      <c r="AA20" s="4">
        <f>IF(OR($A20="",AA$1=""),"",IFERROR(AVERAGEIFS(Scores!$G$2:$G$1001,Scores!$B$2:$B$1001,$A20,Scores!$C$2:$C$1001,AA$1,Scores!$A$2:$A$1001,MAXIFS(Scores!$A$2:$A$1001,Scores!$B$2:$B$1001,$A20,Scores!$C$2:$C$1001,AA$1)),""))</f>
        <v/>
      </c>
      <c r="AB20" s="4">
        <f>IF(OR($A20="",AB$1=""),"",IFERROR(AVERAGEIFS(Scores!$G$2:$G$1001,Scores!$B$2:$B$1001,$A20,Scores!$C$2:$C$1001,AB$1,Scores!$A$2:$A$1001,MAXIFS(Scores!$A$2:$A$1001,Scores!$B$2:$B$1001,$A20,Scores!$C$2:$C$1001,AB$1)),""))</f>
        <v/>
      </c>
      <c r="AC20" s="4">
        <f>IF(OR($A20="",AC$1=""),"",IFERROR(AVERAGEIFS(Scores!$G$2:$G$1001,Scores!$B$2:$B$1001,$A20,Scores!$C$2:$C$1001,AC$1,Scores!$A$2:$A$1001,MAXIFS(Scores!$A$2:$A$1001,Scores!$B$2:$B$1001,$A20,Scores!$C$2:$C$1001,AC$1)),""))</f>
        <v/>
      </c>
      <c r="AD20" s="4">
        <f>IF(OR($A20="",AD$1=""),"",IFERROR(AVERAGEIFS(Scores!$G$2:$G$1001,Scores!$B$2:$B$1001,$A20,Scores!$C$2:$C$1001,AD$1,Scores!$A$2:$A$1001,MAXIFS(Scores!$A$2:$A$1001,Scores!$B$2:$B$1001,$A20,Scores!$C$2:$C$1001,AD$1)),""))</f>
        <v/>
      </c>
      <c r="AE20" s="4">
        <f>IF(OR($A20="",AE$1=""),"",IFERROR(AVERAGEIFS(Scores!$G$2:$G$1001,Scores!$B$2:$B$1001,$A20,Scores!$C$2:$C$1001,AE$1,Scores!$A$2:$A$1001,MAXIFS(Scores!$A$2:$A$1001,Scores!$B$2:$B$1001,$A20,Scores!$C$2:$C$1001,AE$1)),""))</f>
        <v/>
      </c>
      <c r="AF20" s="6">
        <f>IF($A20="","",IFERROR(AVERAGE(B20:AE20),""))</f>
        <v/>
      </c>
    </row>
    <row r="21">
      <c r="A21" s="5">
        <f>IFERROR(Config!A21,"")</f>
        <v/>
      </c>
      <c r="B21" s="4">
        <f>IF(OR($A21="",B$1=""),"",IFERROR(AVERAGEIFS(Scores!$G$2:$G$1001,Scores!$B$2:$B$1001,$A21,Scores!$C$2:$C$1001,B$1,Scores!$A$2:$A$1001,MAXIFS(Scores!$A$2:$A$1001,Scores!$B$2:$B$1001,$A21,Scores!$C$2:$C$1001,B$1)),""))</f>
        <v/>
      </c>
      <c r="C21" s="4">
        <f>IF(OR($A21="",C$1=""),"",IFERROR(AVERAGEIFS(Scores!$G$2:$G$1001,Scores!$B$2:$B$1001,$A21,Scores!$C$2:$C$1001,C$1,Scores!$A$2:$A$1001,MAXIFS(Scores!$A$2:$A$1001,Scores!$B$2:$B$1001,$A21,Scores!$C$2:$C$1001,C$1)),""))</f>
        <v/>
      </c>
      <c r="D21" s="4">
        <f>IF(OR($A21="",D$1=""),"",IFERROR(AVERAGEIFS(Scores!$G$2:$G$1001,Scores!$B$2:$B$1001,$A21,Scores!$C$2:$C$1001,D$1,Scores!$A$2:$A$1001,MAXIFS(Scores!$A$2:$A$1001,Scores!$B$2:$B$1001,$A21,Scores!$C$2:$C$1001,D$1)),""))</f>
        <v/>
      </c>
      <c r="E21" s="4">
        <f>IF(OR($A21="",E$1=""),"",IFERROR(AVERAGEIFS(Scores!$G$2:$G$1001,Scores!$B$2:$B$1001,$A21,Scores!$C$2:$C$1001,E$1,Scores!$A$2:$A$1001,MAXIFS(Scores!$A$2:$A$1001,Scores!$B$2:$B$1001,$A21,Scores!$C$2:$C$1001,E$1)),""))</f>
        <v/>
      </c>
      <c r="F21" s="4">
        <f>IF(OR($A21="",F$1=""),"",IFERROR(AVERAGEIFS(Scores!$G$2:$G$1001,Scores!$B$2:$B$1001,$A21,Scores!$C$2:$C$1001,F$1,Scores!$A$2:$A$1001,MAXIFS(Scores!$A$2:$A$1001,Scores!$B$2:$B$1001,$A21,Scores!$C$2:$C$1001,F$1)),""))</f>
        <v/>
      </c>
      <c r="G21" s="4">
        <f>IF(OR($A21="",G$1=""),"",IFERROR(AVERAGEIFS(Scores!$G$2:$G$1001,Scores!$B$2:$B$1001,$A21,Scores!$C$2:$C$1001,G$1,Scores!$A$2:$A$1001,MAXIFS(Scores!$A$2:$A$1001,Scores!$B$2:$B$1001,$A21,Scores!$C$2:$C$1001,G$1)),""))</f>
        <v/>
      </c>
      <c r="H21" s="4">
        <f>IF(OR($A21="",H$1=""),"",IFERROR(AVERAGEIFS(Scores!$G$2:$G$1001,Scores!$B$2:$B$1001,$A21,Scores!$C$2:$C$1001,H$1,Scores!$A$2:$A$1001,MAXIFS(Scores!$A$2:$A$1001,Scores!$B$2:$B$1001,$A21,Scores!$C$2:$C$1001,H$1)),""))</f>
        <v/>
      </c>
      <c r="I21" s="4">
        <f>IF(OR($A21="",I$1=""),"",IFERROR(AVERAGEIFS(Scores!$G$2:$G$1001,Scores!$B$2:$B$1001,$A21,Scores!$C$2:$C$1001,I$1,Scores!$A$2:$A$1001,MAXIFS(Scores!$A$2:$A$1001,Scores!$B$2:$B$1001,$A21,Scores!$C$2:$C$1001,I$1)),""))</f>
        <v/>
      </c>
      <c r="J21" s="4">
        <f>IF(OR($A21="",J$1=""),"",IFERROR(AVERAGEIFS(Scores!$G$2:$G$1001,Scores!$B$2:$B$1001,$A21,Scores!$C$2:$C$1001,J$1,Scores!$A$2:$A$1001,MAXIFS(Scores!$A$2:$A$1001,Scores!$B$2:$B$1001,$A21,Scores!$C$2:$C$1001,J$1)),""))</f>
        <v/>
      </c>
      <c r="K21" s="4">
        <f>IF(OR($A21="",K$1=""),"",IFERROR(AVERAGEIFS(Scores!$G$2:$G$1001,Scores!$B$2:$B$1001,$A21,Scores!$C$2:$C$1001,K$1,Scores!$A$2:$A$1001,MAXIFS(Scores!$A$2:$A$1001,Scores!$B$2:$B$1001,$A21,Scores!$C$2:$C$1001,K$1)),""))</f>
        <v/>
      </c>
      <c r="L21" s="4">
        <f>IF(OR($A21="",L$1=""),"",IFERROR(AVERAGEIFS(Scores!$G$2:$G$1001,Scores!$B$2:$B$1001,$A21,Scores!$C$2:$C$1001,L$1,Scores!$A$2:$A$1001,MAXIFS(Scores!$A$2:$A$1001,Scores!$B$2:$B$1001,$A21,Scores!$C$2:$C$1001,L$1)),""))</f>
        <v/>
      </c>
      <c r="M21" s="4">
        <f>IF(OR($A21="",M$1=""),"",IFERROR(AVERAGEIFS(Scores!$G$2:$G$1001,Scores!$B$2:$B$1001,$A21,Scores!$C$2:$C$1001,M$1,Scores!$A$2:$A$1001,MAXIFS(Scores!$A$2:$A$1001,Scores!$B$2:$B$1001,$A21,Scores!$C$2:$C$1001,M$1)),""))</f>
        <v/>
      </c>
      <c r="N21" s="4">
        <f>IF(OR($A21="",N$1=""),"",IFERROR(AVERAGEIFS(Scores!$G$2:$G$1001,Scores!$B$2:$B$1001,$A21,Scores!$C$2:$C$1001,N$1,Scores!$A$2:$A$1001,MAXIFS(Scores!$A$2:$A$1001,Scores!$B$2:$B$1001,$A21,Scores!$C$2:$C$1001,N$1)),""))</f>
        <v/>
      </c>
      <c r="O21" s="4">
        <f>IF(OR($A21="",O$1=""),"",IFERROR(AVERAGEIFS(Scores!$G$2:$G$1001,Scores!$B$2:$B$1001,$A21,Scores!$C$2:$C$1001,O$1,Scores!$A$2:$A$1001,MAXIFS(Scores!$A$2:$A$1001,Scores!$B$2:$B$1001,$A21,Scores!$C$2:$C$1001,O$1)),""))</f>
        <v/>
      </c>
      <c r="P21" s="4">
        <f>IF(OR($A21="",P$1=""),"",IFERROR(AVERAGEIFS(Scores!$G$2:$G$1001,Scores!$B$2:$B$1001,$A21,Scores!$C$2:$C$1001,P$1,Scores!$A$2:$A$1001,MAXIFS(Scores!$A$2:$A$1001,Scores!$B$2:$B$1001,$A21,Scores!$C$2:$C$1001,P$1)),""))</f>
        <v/>
      </c>
      <c r="Q21" s="4">
        <f>IF(OR($A21="",Q$1=""),"",IFERROR(AVERAGEIFS(Scores!$G$2:$G$1001,Scores!$B$2:$B$1001,$A21,Scores!$C$2:$C$1001,Q$1,Scores!$A$2:$A$1001,MAXIFS(Scores!$A$2:$A$1001,Scores!$B$2:$B$1001,$A21,Scores!$C$2:$C$1001,Q$1)),""))</f>
        <v/>
      </c>
      <c r="R21" s="4">
        <f>IF(OR($A21="",R$1=""),"",IFERROR(AVERAGEIFS(Scores!$G$2:$G$1001,Scores!$B$2:$B$1001,$A21,Scores!$C$2:$C$1001,R$1,Scores!$A$2:$A$1001,MAXIFS(Scores!$A$2:$A$1001,Scores!$B$2:$B$1001,$A21,Scores!$C$2:$C$1001,R$1)),""))</f>
        <v/>
      </c>
      <c r="S21" s="4">
        <f>IF(OR($A21="",S$1=""),"",IFERROR(AVERAGEIFS(Scores!$G$2:$G$1001,Scores!$B$2:$B$1001,$A21,Scores!$C$2:$C$1001,S$1,Scores!$A$2:$A$1001,MAXIFS(Scores!$A$2:$A$1001,Scores!$B$2:$B$1001,$A21,Scores!$C$2:$C$1001,S$1)),""))</f>
        <v/>
      </c>
      <c r="T21" s="4">
        <f>IF(OR($A21="",T$1=""),"",IFERROR(AVERAGEIFS(Scores!$G$2:$G$1001,Scores!$B$2:$B$1001,$A21,Scores!$C$2:$C$1001,T$1,Scores!$A$2:$A$1001,MAXIFS(Scores!$A$2:$A$1001,Scores!$B$2:$B$1001,$A21,Scores!$C$2:$C$1001,T$1)),""))</f>
        <v/>
      </c>
      <c r="U21" s="4">
        <f>IF(OR($A21="",U$1=""),"",IFERROR(AVERAGEIFS(Scores!$G$2:$G$1001,Scores!$B$2:$B$1001,$A21,Scores!$C$2:$C$1001,U$1,Scores!$A$2:$A$1001,MAXIFS(Scores!$A$2:$A$1001,Scores!$B$2:$B$1001,$A21,Scores!$C$2:$C$1001,U$1)),""))</f>
        <v/>
      </c>
      <c r="V21" s="4">
        <f>IF(OR($A21="",V$1=""),"",IFERROR(AVERAGEIFS(Scores!$G$2:$G$1001,Scores!$B$2:$B$1001,$A21,Scores!$C$2:$C$1001,V$1,Scores!$A$2:$A$1001,MAXIFS(Scores!$A$2:$A$1001,Scores!$B$2:$B$1001,$A21,Scores!$C$2:$C$1001,V$1)),""))</f>
        <v/>
      </c>
      <c r="W21" s="4">
        <f>IF(OR($A21="",W$1=""),"",IFERROR(AVERAGEIFS(Scores!$G$2:$G$1001,Scores!$B$2:$B$1001,$A21,Scores!$C$2:$C$1001,W$1,Scores!$A$2:$A$1001,MAXIFS(Scores!$A$2:$A$1001,Scores!$B$2:$B$1001,$A21,Scores!$C$2:$C$1001,W$1)),""))</f>
        <v/>
      </c>
      <c r="X21" s="4">
        <f>IF(OR($A21="",X$1=""),"",IFERROR(AVERAGEIFS(Scores!$G$2:$G$1001,Scores!$B$2:$B$1001,$A21,Scores!$C$2:$C$1001,X$1,Scores!$A$2:$A$1001,MAXIFS(Scores!$A$2:$A$1001,Scores!$B$2:$B$1001,$A21,Scores!$C$2:$C$1001,X$1)),""))</f>
        <v/>
      </c>
      <c r="Y21" s="4">
        <f>IF(OR($A21="",Y$1=""),"",IFERROR(AVERAGEIFS(Scores!$G$2:$G$1001,Scores!$B$2:$B$1001,$A21,Scores!$C$2:$C$1001,Y$1,Scores!$A$2:$A$1001,MAXIFS(Scores!$A$2:$A$1001,Scores!$B$2:$B$1001,$A21,Scores!$C$2:$C$1001,Y$1)),""))</f>
        <v/>
      </c>
      <c r="Z21" s="4">
        <f>IF(OR($A21="",Z$1=""),"",IFERROR(AVERAGEIFS(Scores!$G$2:$G$1001,Scores!$B$2:$B$1001,$A21,Scores!$C$2:$C$1001,Z$1,Scores!$A$2:$A$1001,MAXIFS(Scores!$A$2:$A$1001,Scores!$B$2:$B$1001,$A21,Scores!$C$2:$C$1001,Z$1)),""))</f>
        <v/>
      </c>
      <c r="AA21" s="4">
        <f>IF(OR($A21="",AA$1=""),"",IFERROR(AVERAGEIFS(Scores!$G$2:$G$1001,Scores!$B$2:$B$1001,$A21,Scores!$C$2:$C$1001,AA$1,Scores!$A$2:$A$1001,MAXIFS(Scores!$A$2:$A$1001,Scores!$B$2:$B$1001,$A21,Scores!$C$2:$C$1001,AA$1)),""))</f>
        <v/>
      </c>
      <c r="AB21" s="4">
        <f>IF(OR($A21="",AB$1=""),"",IFERROR(AVERAGEIFS(Scores!$G$2:$G$1001,Scores!$B$2:$B$1001,$A21,Scores!$C$2:$C$1001,AB$1,Scores!$A$2:$A$1001,MAXIFS(Scores!$A$2:$A$1001,Scores!$B$2:$B$1001,$A21,Scores!$C$2:$C$1001,AB$1)),""))</f>
        <v/>
      </c>
      <c r="AC21" s="4">
        <f>IF(OR($A21="",AC$1=""),"",IFERROR(AVERAGEIFS(Scores!$G$2:$G$1001,Scores!$B$2:$B$1001,$A21,Scores!$C$2:$C$1001,AC$1,Scores!$A$2:$A$1001,MAXIFS(Scores!$A$2:$A$1001,Scores!$B$2:$B$1001,$A21,Scores!$C$2:$C$1001,AC$1)),""))</f>
        <v/>
      </c>
      <c r="AD21" s="4">
        <f>IF(OR($A21="",AD$1=""),"",IFERROR(AVERAGEIFS(Scores!$G$2:$G$1001,Scores!$B$2:$B$1001,$A21,Scores!$C$2:$C$1001,AD$1,Scores!$A$2:$A$1001,MAXIFS(Scores!$A$2:$A$1001,Scores!$B$2:$B$1001,$A21,Scores!$C$2:$C$1001,AD$1)),""))</f>
        <v/>
      </c>
      <c r="AE21" s="4">
        <f>IF(OR($A21="",AE$1=""),"",IFERROR(AVERAGEIFS(Scores!$G$2:$G$1001,Scores!$B$2:$B$1001,$A21,Scores!$C$2:$C$1001,AE$1,Scores!$A$2:$A$1001,MAXIFS(Scores!$A$2:$A$1001,Scores!$B$2:$B$1001,$A21,Scores!$C$2:$C$1001,AE$1)),""))</f>
        <v/>
      </c>
      <c r="AF21" s="6">
        <f>IF($A21="","",IFERROR(AVERAGE(B21:AE21),""))</f>
        <v/>
      </c>
    </row>
    <row r="22">
      <c r="A22" s="1" t="inlineStr">
        <is>
          <t>Group Avg</t>
        </is>
      </c>
      <c r="B22" s="7">
        <f>IF(B$1="","",IFERROR(AVERAGE(B2:B21),""))</f>
        <v/>
      </c>
      <c r="C22" s="7">
        <f>IF(C$1="","",IFERROR(AVERAGE(C2:C21),""))</f>
        <v/>
      </c>
      <c r="D22" s="7">
        <f>IF(D$1="","",IFERROR(AVERAGE(D2:D21),""))</f>
        <v/>
      </c>
      <c r="E22" s="7">
        <f>IF(E$1="","",IFERROR(AVERAGE(E2:E21),""))</f>
        <v/>
      </c>
      <c r="F22" s="7">
        <f>IF(F$1="","",IFERROR(AVERAGE(F2:F21),""))</f>
        <v/>
      </c>
      <c r="G22" s="7">
        <f>IF(G$1="","",IFERROR(AVERAGE(G2:G21),""))</f>
        <v/>
      </c>
      <c r="H22" s="7">
        <f>IF(H$1="","",IFERROR(AVERAGE(H2:H21),""))</f>
        <v/>
      </c>
      <c r="I22" s="7">
        <f>IF(I$1="","",IFERROR(AVERAGE(I2:I21),""))</f>
        <v/>
      </c>
      <c r="J22" s="7">
        <f>IF(J$1="","",IFERROR(AVERAGE(J2:J21),""))</f>
        <v/>
      </c>
      <c r="K22" s="7">
        <f>IF(K$1="","",IFERROR(AVERAGE(K2:K21),""))</f>
        <v/>
      </c>
      <c r="L22" s="7">
        <f>IF(L$1="","",IFERROR(AVERAGE(L2:L21),""))</f>
        <v/>
      </c>
      <c r="M22" s="7">
        <f>IF(M$1="","",IFERROR(AVERAGE(M2:M21),""))</f>
        <v/>
      </c>
      <c r="N22" s="7">
        <f>IF(N$1="","",IFERROR(AVERAGE(N2:N21),""))</f>
        <v/>
      </c>
      <c r="O22" s="7">
        <f>IF(O$1="","",IFERROR(AVERAGE(O2:O21),""))</f>
        <v/>
      </c>
      <c r="P22" s="7">
        <f>IF(P$1="","",IFERROR(AVERAGE(P2:P21),""))</f>
        <v/>
      </c>
      <c r="Q22" s="7">
        <f>IF(Q$1="","",IFERROR(AVERAGE(Q2:Q21),""))</f>
        <v/>
      </c>
      <c r="R22" s="7">
        <f>IF(R$1="","",IFERROR(AVERAGE(R2:R21),""))</f>
        <v/>
      </c>
      <c r="S22" s="7">
        <f>IF(S$1="","",IFERROR(AVERAGE(S2:S21),""))</f>
        <v/>
      </c>
      <c r="T22" s="7">
        <f>IF(T$1="","",IFERROR(AVERAGE(T2:T21),""))</f>
        <v/>
      </c>
      <c r="U22" s="7">
        <f>IF(U$1="","",IFERROR(AVERAGE(U2:U21),""))</f>
        <v/>
      </c>
      <c r="V22" s="7">
        <f>IF(V$1="","",IFERROR(AVERAGE(V2:V21),""))</f>
        <v/>
      </c>
      <c r="W22" s="7">
        <f>IF(W$1="","",IFERROR(AVERAGE(W2:W21),""))</f>
        <v/>
      </c>
      <c r="X22" s="7">
        <f>IF(X$1="","",IFERROR(AVERAGE(X2:X21),""))</f>
        <v/>
      </c>
      <c r="Y22" s="7">
        <f>IF(Y$1="","",IFERROR(AVERAGE(Y2:Y21),""))</f>
        <v/>
      </c>
      <c r="Z22" s="7">
        <f>IF(Z$1="","",IFERROR(AVERAGE(Z2:Z21),""))</f>
        <v/>
      </c>
      <c r="AA22" s="7">
        <f>IF(AA$1="","",IFERROR(AVERAGE(AA2:AA21),""))</f>
        <v/>
      </c>
      <c r="AB22" s="7">
        <f>IF(AB$1="","",IFERROR(AVERAGE(AB2:AB21),""))</f>
        <v/>
      </c>
      <c r="AC22" s="7">
        <f>IF(AC$1="","",IFERROR(AVERAGE(AC2:AC21),""))</f>
        <v/>
      </c>
      <c r="AD22" s="7">
        <f>IF(AD$1="","",IFERROR(AVERAGE(AD2:AD21),""))</f>
        <v/>
      </c>
      <c r="AE22" s="7">
        <f>IF(AE$1="","",IFERROR(AVERAGE(AE2:AE21),""))</f>
        <v/>
      </c>
    </row>
  </sheetData>
  <conditionalFormatting sqref="B2:AE21">
    <cfRule type="colorScale" priority="1">
      <colorScale>
        <cfvo type="num" val="0"/>
        <cfvo type="num" val="0.6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11" customWidth="1" min="4" max="4"/>
    <col width="13" customWidth="1" min="5" max="5"/>
    <col width="18" customWidth="1" min="6" max="6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8" t="inlineStr">
        <is>
          <t>Training Priority — drill weakest first</t>
        </is>
      </c>
      <c r="H1" s="2" t="inlineStr">
        <is>
          <t>(helper — safe to ignore)</t>
        </is>
      </c>
    </row>
    <row r="2">
      <c r="H2">
        <f>IFERROR(Config!C2,"")</f>
        <v/>
      </c>
      <c r="I2">
        <f>IF(H2="","",IFERROR(INDEX(Scoreboard!$B$22:$AE$22,MATCH(H2,Scoreboard!$B$1:$AE$1,0)),""))</f>
        <v/>
      </c>
      <c r="J2">
        <f>IF(H2="","",IFERROR(INDEX(Config!$D$2:$D$31,MATCH(H2,Config!$C$2:$C$31,0)),""))</f>
        <v/>
      </c>
      <c r="K2">
        <f>IF(OR(H2="",I2="",J2=""),"",I2-J2)</f>
        <v/>
      </c>
      <c r="L2">
        <f>IF(OR(H2="",I2=""),"",IFERROR(INDEX(Scoreboard!$A$2:$A$21,MATCH(MIN(INDEX(Scoreboard!$B$2:$AE$21,0,MATCH(H2,Scoreboard!$B$1:$AE$1,0))),INDEX(Scoreboard!$B$2:$AE$21,0,MATCH(H2,Scoreboard!$B$1:$AE$1,0)),0)),""))</f>
        <v/>
      </c>
    </row>
    <row r="3">
      <c r="A3" s="1" t="inlineStr">
        <is>
          <t>Rank</t>
        </is>
      </c>
      <c r="B3" s="1" t="inlineStr">
        <is>
          <t>Subject</t>
        </is>
      </c>
      <c r="C3" s="1" t="inlineStr">
        <is>
          <t>Group Avg %</t>
        </is>
      </c>
      <c r="D3" s="1" t="inlineStr">
        <is>
          <t>Target %</t>
        </is>
      </c>
      <c r="E3" s="1" t="inlineStr">
        <is>
          <t>Gap to Target</t>
        </is>
      </c>
      <c r="F3" s="1" t="inlineStr">
        <is>
          <t>Weakest Member</t>
        </is>
      </c>
      <c r="H3">
        <f>IFERROR(Config!C3,"")</f>
        <v/>
      </c>
      <c r="I3">
        <f>IF(H3="","",IFERROR(INDEX(Scoreboard!$B$22:$AE$22,MATCH(H3,Scoreboard!$B$1:$AE$1,0)),""))</f>
        <v/>
      </c>
      <c r="J3">
        <f>IF(H3="","",IFERROR(INDEX(Config!$D$2:$D$31,MATCH(H3,Config!$C$2:$C$31,0)),""))</f>
        <v/>
      </c>
      <c r="K3">
        <f>IF(OR(H3="",I3="",J3=""),"",I3-J3)</f>
        <v/>
      </c>
      <c r="L3">
        <f>IF(OR(H3="",I3=""),"",IFERROR(INDEX(Scoreboard!$A$2:$A$21,MATCH(MIN(INDEX(Scoreboard!$B$2:$AE$21,0,MATCH(H3,Scoreboard!$B$1:$AE$1,0))),INDEX(Scoreboard!$B$2:$AE$21,0,MATCH(H3,Scoreboard!$B$1:$AE$1,0)),0)),""))</f>
        <v/>
      </c>
    </row>
    <row r="4">
      <c r="A4" s="9">
        <f>IF(B4="","",ROW()-3)</f>
        <v/>
      </c>
      <c r="B4">
        <f>IFERROR(SORT(FILTER($H$2:$L$31,($H$2:$H$31&lt;&gt;"")*($I$2:$I$31&lt;&gt;"")),2,TRUE),"")</f>
        <v/>
      </c>
      <c r="C4" s="4" t="n"/>
      <c r="D4" s="4" t="n"/>
      <c r="E4" s="4" t="n"/>
      <c r="H4">
        <f>IFERROR(Config!C4,"")</f>
        <v/>
      </c>
      <c r="I4">
        <f>IF(H4="","",IFERROR(INDEX(Scoreboard!$B$22:$AE$22,MATCH(H4,Scoreboard!$B$1:$AE$1,0)),""))</f>
        <v/>
      </c>
      <c r="J4">
        <f>IF(H4="","",IFERROR(INDEX(Config!$D$2:$D$31,MATCH(H4,Config!$C$2:$C$31,0)),""))</f>
        <v/>
      </c>
      <c r="K4">
        <f>IF(OR(H4="",I4="",J4=""),"",I4-J4)</f>
        <v/>
      </c>
      <c r="L4">
        <f>IF(OR(H4="",I4=""),"",IFERROR(INDEX(Scoreboard!$A$2:$A$21,MATCH(MIN(INDEX(Scoreboard!$B$2:$AE$21,0,MATCH(H4,Scoreboard!$B$1:$AE$1,0))),INDEX(Scoreboard!$B$2:$AE$21,0,MATCH(H4,Scoreboard!$B$1:$AE$1,0)),0)),""))</f>
        <v/>
      </c>
    </row>
    <row r="5">
      <c r="A5" s="9">
        <f>IF(B5="","",ROW()-3)</f>
        <v/>
      </c>
      <c r="C5" s="4" t="n"/>
      <c r="D5" s="4" t="n"/>
      <c r="E5" s="4" t="n"/>
      <c r="H5">
        <f>IFERROR(Config!C5,"")</f>
        <v/>
      </c>
      <c r="I5">
        <f>IF(H5="","",IFERROR(INDEX(Scoreboard!$B$22:$AE$22,MATCH(H5,Scoreboard!$B$1:$AE$1,0)),""))</f>
        <v/>
      </c>
      <c r="J5">
        <f>IF(H5="","",IFERROR(INDEX(Config!$D$2:$D$31,MATCH(H5,Config!$C$2:$C$31,0)),""))</f>
        <v/>
      </c>
      <c r="K5">
        <f>IF(OR(H5="",I5="",J5=""),"",I5-J5)</f>
        <v/>
      </c>
      <c r="L5">
        <f>IF(OR(H5="",I5=""),"",IFERROR(INDEX(Scoreboard!$A$2:$A$21,MATCH(MIN(INDEX(Scoreboard!$B$2:$AE$21,0,MATCH(H5,Scoreboard!$B$1:$AE$1,0))),INDEX(Scoreboard!$B$2:$AE$21,0,MATCH(H5,Scoreboard!$B$1:$AE$1,0)),0)),""))</f>
        <v/>
      </c>
    </row>
    <row r="6">
      <c r="A6" s="9">
        <f>IF(B6="","",ROW()-3)</f>
        <v/>
      </c>
      <c r="C6" s="4" t="n"/>
      <c r="D6" s="4" t="n"/>
      <c r="E6" s="4" t="n"/>
      <c r="H6">
        <f>IFERROR(Config!C6,"")</f>
        <v/>
      </c>
      <c r="I6">
        <f>IF(H6="","",IFERROR(INDEX(Scoreboard!$B$22:$AE$22,MATCH(H6,Scoreboard!$B$1:$AE$1,0)),""))</f>
        <v/>
      </c>
      <c r="J6">
        <f>IF(H6="","",IFERROR(INDEX(Config!$D$2:$D$31,MATCH(H6,Config!$C$2:$C$31,0)),""))</f>
        <v/>
      </c>
      <c r="K6">
        <f>IF(OR(H6="",I6="",J6=""),"",I6-J6)</f>
        <v/>
      </c>
      <c r="L6">
        <f>IF(OR(H6="",I6=""),"",IFERROR(INDEX(Scoreboard!$A$2:$A$21,MATCH(MIN(INDEX(Scoreboard!$B$2:$AE$21,0,MATCH(H6,Scoreboard!$B$1:$AE$1,0))),INDEX(Scoreboard!$B$2:$AE$21,0,MATCH(H6,Scoreboard!$B$1:$AE$1,0)),0)),""))</f>
        <v/>
      </c>
    </row>
    <row r="7">
      <c r="A7" s="9">
        <f>IF(B7="","",ROW()-3)</f>
        <v/>
      </c>
      <c r="C7" s="4" t="n"/>
      <c r="D7" s="4" t="n"/>
      <c r="E7" s="4" t="n"/>
      <c r="H7">
        <f>IFERROR(Config!C7,"")</f>
        <v/>
      </c>
      <c r="I7">
        <f>IF(H7="","",IFERROR(INDEX(Scoreboard!$B$22:$AE$22,MATCH(H7,Scoreboard!$B$1:$AE$1,0)),""))</f>
        <v/>
      </c>
      <c r="J7">
        <f>IF(H7="","",IFERROR(INDEX(Config!$D$2:$D$31,MATCH(H7,Config!$C$2:$C$31,0)),""))</f>
        <v/>
      </c>
      <c r="K7">
        <f>IF(OR(H7="",I7="",J7=""),"",I7-J7)</f>
        <v/>
      </c>
      <c r="L7">
        <f>IF(OR(H7="",I7=""),"",IFERROR(INDEX(Scoreboard!$A$2:$A$21,MATCH(MIN(INDEX(Scoreboard!$B$2:$AE$21,0,MATCH(H7,Scoreboard!$B$1:$AE$1,0))),INDEX(Scoreboard!$B$2:$AE$21,0,MATCH(H7,Scoreboard!$B$1:$AE$1,0)),0)),""))</f>
        <v/>
      </c>
    </row>
    <row r="8">
      <c r="A8" s="9">
        <f>IF(B8="","",ROW()-3)</f>
        <v/>
      </c>
      <c r="C8" s="4" t="n"/>
      <c r="D8" s="4" t="n"/>
      <c r="E8" s="4" t="n"/>
      <c r="H8">
        <f>IFERROR(Config!C8,"")</f>
        <v/>
      </c>
      <c r="I8">
        <f>IF(H8="","",IFERROR(INDEX(Scoreboard!$B$22:$AE$22,MATCH(H8,Scoreboard!$B$1:$AE$1,0)),""))</f>
        <v/>
      </c>
      <c r="J8">
        <f>IF(H8="","",IFERROR(INDEX(Config!$D$2:$D$31,MATCH(H8,Config!$C$2:$C$31,0)),""))</f>
        <v/>
      </c>
      <c r="K8">
        <f>IF(OR(H8="",I8="",J8=""),"",I8-J8)</f>
        <v/>
      </c>
      <c r="L8">
        <f>IF(OR(H8="",I8=""),"",IFERROR(INDEX(Scoreboard!$A$2:$A$21,MATCH(MIN(INDEX(Scoreboard!$B$2:$AE$21,0,MATCH(H8,Scoreboard!$B$1:$AE$1,0))),INDEX(Scoreboard!$B$2:$AE$21,0,MATCH(H8,Scoreboard!$B$1:$AE$1,0)),0)),""))</f>
        <v/>
      </c>
    </row>
    <row r="9">
      <c r="A9" s="9">
        <f>IF(B9="","",ROW()-3)</f>
        <v/>
      </c>
      <c r="C9" s="4" t="n"/>
      <c r="D9" s="4" t="n"/>
      <c r="E9" s="4" t="n"/>
      <c r="H9">
        <f>IFERROR(Config!C9,"")</f>
        <v/>
      </c>
      <c r="I9">
        <f>IF(H9="","",IFERROR(INDEX(Scoreboard!$B$22:$AE$22,MATCH(H9,Scoreboard!$B$1:$AE$1,0)),""))</f>
        <v/>
      </c>
      <c r="J9">
        <f>IF(H9="","",IFERROR(INDEX(Config!$D$2:$D$31,MATCH(H9,Config!$C$2:$C$31,0)),""))</f>
        <v/>
      </c>
      <c r="K9">
        <f>IF(OR(H9="",I9="",J9=""),"",I9-J9)</f>
        <v/>
      </c>
      <c r="L9">
        <f>IF(OR(H9="",I9=""),"",IFERROR(INDEX(Scoreboard!$A$2:$A$21,MATCH(MIN(INDEX(Scoreboard!$B$2:$AE$21,0,MATCH(H9,Scoreboard!$B$1:$AE$1,0))),INDEX(Scoreboard!$B$2:$AE$21,0,MATCH(H9,Scoreboard!$B$1:$AE$1,0)),0)),""))</f>
        <v/>
      </c>
    </row>
    <row r="10">
      <c r="A10" s="9">
        <f>IF(B10="","",ROW()-3)</f>
        <v/>
      </c>
      <c r="C10" s="4" t="n"/>
      <c r="D10" s="4" t="n"/>
      <c r="E10" s="4" t="n"/>
      <c r="H10">
        <f>IFERROR(Config!C10,"")</f>
        <v/>
      </c>
      <c r="I10">
        <f>IF(H10="","",IFERROR(INDEX(Scoreboard!$B$22:$AE$22,MATCH(H10,Scoreboard!$B$1:$AE$1,0)),""))</f>
        <v/>
      </c>
      <c r="J10">
        <f>IF(H10="","",IFERROR(INDEX(Config!$D$2:$D$31,MATCH(H10,Config!$C$2:$C$31,0)),""))</f>
        <v/>
      </c>
      <c r="K10">
        <f>IF(OR(H10="",I10="",J10=""),"",I10-J10)</f>
        <v/>
      </c>
      <c r="L10">
        <f>IF(OR(H10="",I10=""),"",IFERROR(INDEX(Scoreboard!$A$2:$A$21,MATCH(MIN(INDEX(Scoreboard!$B$2:$AE$21,0,MATCH(H10,Scoreboard!$B$1:$AE$1,0))),INDEX(Scoreboard!$B$2:$AE$21,0,MATCH(H10,Scoreboard!$B$1:$AE$1,0)),0)),""))</f>
        <v/>
      </c>
    </row>
    <row r="11">
      <c r="A11" s="9">
        <f>IF(B11="","",ROW()-3)</f>
        <v/>
      </c>
      <c r="C11" s="4" t="n"/>
      <c r="D11" s="4" t="n"/>
      <c r="E11" s="4" t="n"/>
      <c r="H11">
        <f>IFERROR(Config!C11,"")</f>
        <v/>
      </c>
      <c r="I11">
        <f>IF(H11="","",IFERROR(INDEX(Scoreboard!$B$22:$AE$22,MATCH(H11,Scoreboard!$B$1:$AE$1,0)),""))</f>
        <v/>
      </c>
      <c r="J11">
        <f>IF(H11="","",IFERROR(INDEX(Config!$D$2:$D$31,MATCH(H11,Config!$C$2:$C$31,0)),""))</f>
        <v/>
      </c>
      <c r="K11">
        <f>IF(OR(H11="",I11="",J11=""),"",I11-J11)</f>
        <v/>
      </c>
      <c r="L11">
        <f>IF(OR(H11="",I11=""),"",IFERROR(INDEX(Scoreboard!$A$2:$A$21,MATCH(MIN(INDEX(Scoreboard!$B$2:$AE$21,0,MATCH(H11,Scoreboard!$B$1:$AE$1,0))),INDEX(Scoreboard!$B$2:$AE$21,0,MATCH(H11,Scoreboard!$B$1:$AE$1,0)),0)),""))</f>
        <v/>
      </c>
    </row>
    <row r="12">
      <c r="A12" s="9">
        <f>IF(B12="","",ROW()-3)</f>
        <v/>
      </c>
      <c r="C12" s="4" t="n"/>
      <c r="D12" s="4" t="n"/>
      <c r="E12" s="4" t="n"/>
      <c r="H12">
        <f>IFERROR(Config!C12,"")</f>
        <v/>
      </c>
      <c r="I12">
        <f>IF(H12="","",IFERROR(INDEX(Scoreboard!$B$22:$AE$22,MATCH(H12,Scoreboard!$B$1:$AE$1,0)),""))</f>
        <v/>
      </c>
      <c r="J12">
        <f>IF(H12="","",IFERROR(INDEX(Config!$D$2:$D$31,MATCH(H12,Config!$C$2:$C$31,0)),""))</f>
        <v/>
      </c>
      <c r="K12">
        <f>IF(OR(H12="",I12="",J12=""),"",I12-J12)</f>
        <v/>
      </c>
      <c r="L12">
        <f>IF(OR(H12="",I12=""),"",IFERROR(INDEX(Scoreboard!$A$2:$A$21,MATCH(MIN(INDEX(Scoreboard!$B$2:$AE$21,0,MATCH(H12,Scoreboard!$B$1:$AE$1,0))),INDEX(Scoreboard!$B$2:$AE$21,0,MATCH(H12,Scoreboard!$B$1:$AE$1,0)),0)),""))</f>
        <v/>
      </c>
    </row>
    <row r="13">
      <c r="A13" s="9">
        <f>IF(B13="","",ROW()-3)</f>
        <v/>
      </c>
      <c r="C13" s="4" t="n"/>
      <c r="D13" s="4" t="n"/>
      <c r="E13" s="4" t="n"/>
      <c r="H13">
        <f>IFERROR(Config!C13,"")</f>
        <v/>
      </c>
      <c r="I13">
        <f>IF(H13="","",IFERROR(INDEX(Scoreboard!$B$22:$AE$22,MATCH(H13,Scoreboard!$B$1:$AE$1,0)),""))</f>
        <v/>
      </c>
      <c r="J13">
        <f>IF(H13="","",IFERROR(INDEX(Config!$D$2:$D$31,MATCH(H13,Config!$C$2:$C$31,0)),""))</f>
        <v/>
      </c>
      <c r="K13">
        <f>IF(OR(H13="",I13="",J13=""),"",I13-J13)</f>
        <v/>
      </c>
      <c r="L13">
        <f>IF(OR(H13="",I13=""),"",IFERROR(INDEX(Scoreboard!$A$2:$A$21,MATCH(MIN(INDEX(Scoreboard!$B$2:$AE$21,0,MATCH(H13,Scoreboard!$B$1:$AE$1,0))),INDEX(Scoreboard!$B$2:$AE$21,0,MATCH(H13,Scoreboard!$B$1:$AE$1,0)),0)),""))</f>
        <v/>
      </c>
    </row>
    <row r="14">
      <c r="A14" s="9">
        <f>IF(B14="","",ROW()-3)</f>
        <v/>
      </c>
      <c r="C14" s="4" t="n"/>
      <c r="D14" s="4" t="n"/>
      <c r="E14" s="4" t="n"/>
      <c r="H14">
        <f>IFERROR(Config!C14,"")</f>
        <v/>
      </c>
      <c r="I14">
        <f>IF(H14="","",IFERROR(INDEX(Scoreboard!$B$22:$AE$22,MATCH(H14,Scoreboard!$B$1:$AE$1,0)),""))</f>
        <v/>
      </c>
      <c r="J14">
        <f>IF(H14="","",IFERROR(INDEX(Config!$D$2:$D$31,MATCH(H14,Config!$C$2:$C$31,0)),""))</f>
        <v/>
      </c>
      <c r="K14">
        <f>IF(OR(H14="",I14="",J14=""),"",I14-J14)</f>
        <v/>
      </c>
      <c r="L14">
        <f>IF(OR(H14="",I14=""),"",IFERROR(INDEX(Scoreboard!$A$2:$A$21,MATCH(MIN(INDEX(Scoreboard!$B$2:$AE$21,0,MATCH(H14,Scoreboard!$B$1:$AE$1,0))),INDEX(Scoreboard!$B$2:$AE$21,0,MATCH(H14,Scoreboard!$B$1:$AE$1,0)),0)),""))</f>
        <v/>
      </c>
    </row>
    <row r="15">
      <c r="A15" s="9">
        <f>IF(B15="","",ROW()-3)</f>
        <v/>
      </c>
      <c r="C15" s="4" t="n"/>
      <c r="D15" s="4" t="n"/>
      <c r="E15" s="4" t="n"/>
      <c r="H15">
        <f>IFERROR(Config!C15,"")</f>
        <v/>
      </c>
      <c r="I15">
        <f>IF(H15="","",IFERROR(INDEX(Scoreboard!$B$22:$AE$22,MATCH(H15,Scoreboard!$B$1:$AE$1,0)),""))</f>
        <v/>
      </c>
      <c r="J15">
        <f>IF(H15="","",IFERROR(INDEX(Config!$D$2:$D$31,MATCH(H15,Config!$C$2:$C$31,0)),""))</f>
        <v/>
      </c>
      <c r="K15">
        <f>IF(OR(H15="",I15="",J15=""),"",I15-J15)</f>
        <v/>
      </c>
      <c r="L15">
        <f>IF(OR(H15="",I15=""),"",IFERROR(INDEX(Scoreboard!$A$2:$A$21,MATCH(MIN(INDEX(Scoreboard!$B$2:$AE$21,0,MATCH(H15,Scoreboard!$B$1:$AE$1,0))),INDEX(Scoreboard!$B$2:$AE$21,0,MATCH(H15,Scoreboard!$B$1:$AE$1,0)),0)),""))</f>
        <v/>
      </c>
    </row>
    <row r="16">
      <c r="A16" s="9">
        <f>IF(B16="","",ROW()-3)</f>
        <v/>
      </c>
      <c r="C16" s="4" t="n"/>
      <c r="D16" s="4" t="n"/>
      <c r="E16" s="4" t="n"/>
      <c r="H16">
        <f>IFERROR(Config!C16,"")</f>
        <v/>
      </c>
      <c r="I16">
        <f>IF(H16="","",IFERROR(INDEX(Scoreboard!$B$22:$AE$22,MATCH(H16,Scoreboard!$B$1:$AE$1,0)),""))</f>
        <v/>
      </c>
      <c r="J16">
        <f>IF(H16="","",IFERROR(INDEX(Config!$D$2:$D$31,MATCH(H16,Config!$C$2:$C$31,0)),""))</f>
        <v/>
      </c>
      <c r="K16">
        <f>IF(OR(H16="",I16="",J16=""),"",I16-J16)</f>
        <v/>
      </c>
      <c r="L16">
        <f>IF(OR(H16="",I16=""),"",IFERROR(INDEX(Scoreboard!$A$2:$A$21,MATCH(MIN(INDEX(Scoreboard!$B$2:$AE$21,0,MATCH(H16,Scoreboard!$B$1:$AE$1,0))),INDEX(Scoreboard!$B$2:$AE$21,0,MATCH(H16,Scoreboard!$B$1:$AE$1,0)),0)),""))</f>
        <v/>
      </c>
    </row>
    <row r="17">
      <c r="A17" s="9">
        <f>IF(B17="","",ROW()-3)</f>
        <v/>
      </c>
      <c r="C17" s="4" t="n"/>
      <c r="D17" s="4" t="n"/>
      <c r="E17" s="4" t="n"/>
      <c r="H17">
        <f>IFERROR(Config!C17,"")</f>
        <v/>
      </c>
      <c r="I17">
        <f>IF(H17="","",IFERROR(INDEX(Scoreboard!$B$22:$AE$22,MATCH(H17,Scoreboard!$B$1:$AE$1,0)),""))</f>
        <v/>
      </c>
      <c r="J17">
        <f>IF(H17="","",IFERROR(INDEX(Config!$D$2:$D$31,MATCH(H17,Config!$C$2:$C$31,0)),""))</f>
        <v/>
      </c>
      <c r="K17">
        <f>IF(OR(H17="",I17="",J17=""),"",I17-J17)</f>
        <v/>
      </c>
      <c r="L17">
        <f>IF(OR(H17="",I17=""),"",IFERROR(INDEX(Scoreboard!$A$2:$A$21,MATCH(MIN(INDEX(Scoreboard!$B$2:$AE$21,0,MATCH(H17,Scoreboard!$B$1:$AE$1,0))),INDEX(Scoreboard!$B$2:$AE$21,0,MATCH(H17,Scoreboard!$B$1:$AE$1,0)),0)),""))</f>
        <v/>
      </c>
    </row>
    <row r="18">
      <c r="A18" s="9">
        <f>IF(B18="","",ROW()-3)</f>
        <v/>
      </c>
      <c r="C18" s="4" t="n"/>
      <c r="D18" s="4" t="n"/>
      <c r="E18" s="4" t="n"/>
      <c r="H18">
        <f>IFERROR(Config!C18,"")</f>
        <v/>
      </c>
      <c r="I18">
        <f>IF(H18="","",IFERROR(INDEX(Scoreboard!$B$22:$AE$22,MATCH(H18,Scoreboard!$B$1:$AE$1,0)),""))</f>
        <v/>
      </c>
      <c r="J18">
        <f>IF(H18="","",IFERROR(INDEX(Config!$D$2:$D$31,MATCH(H18,Config!$C$2:$C$31,0)),""))</f>
        <v/>
      </c>
      <c r="K18">
        <f>IF(OR(H18="",I18="",J18=""),"",I18-J18)</f>
        <v/>
      </c>
      <c r="L18">
        <f>IF(OR(H18="",I18=""),"",IFERROR(INDEX(Scoreboard!$A$2:$A$21,MATCH(MIN(INDEX(Scoreboard!$B$2:$AE$21,0,MATCH(H18,Scoreboard!$B$1:$AE$1,0))),INDEX(Scoreboard!$B$2:$AE$21,0,MATCH(H18,Scoreboard!$B$1:$AE$1,0)),0)),""))</f>
        <v/>
      </c>
    </row>
    <row r="19">
      <c r="A19" s="9">
        <f>IF(B19="","",ROW()-3)</f>
        <v/>
      </c>
      <c r="C19" s="4" t="n"/>
      <c r="D19" s="4" t="n"/>
      <c r="E19" s="4" t="n"/>
      <c r="H19">
        <f>IFERROR(Config!C19,"")</f>
        <v/>
      </c>
      <c r="I19">
        <f>IF(H19="","",IFERROR(INDEX(Scoreboard!$B$22:$AE$22,MATCH(H19,Scoreboard!$B$1:$AE$1,0)),""))</f>
        <v/>
      </c>
      <c r="J19">
        <f>IF(H19="","",IFERROR(INDEX(Config!$D$2:$D$31,MATCH(H19,Config!$C$2:$C$31,0)),""))</f>
        <v/>
      </c>
      <c r="K19">
        <f>IF(OR(H19="",I19="",J19=""),"",I19-J19)</f>
        <v/>
      </c>
      <c r="L19">
        <f>IF(OR(H19="",I19=""),"",IFERROR(INDEX(Scoreboard!$A$2:$A$21,MATCH(MIN(INDEX(Scoreboard!$B$2:$AE$21,0,MATCH(H19,Scoreboard!$B$1:$AE$1,0))),INDEX(Scoreboard!$B$2:$AE$21,0,MATCH(H19,Scoreboard!$B$1:$AE$1,0)),0)),""))</f>
        <v/>
      </c>
    </row>
    <row r="20">
      <c r="A20" s="9">
        <f>IF(B20="","",ROW()-3)</f>
        <v/>
      </c>
      <c r="C20" s="4" t="n"/>
      <c r="D20" s="4" t="n"/>
      <c r="E20" s="4" t="n"/>
      <c r="H20">
        <f>IFERROR(Config!C20,"")</f>
        <v/>
      </c>
      <c r="I20">
        <f>IF(H20="","",IFERROR(INDEX(Scoreboard!$B$22:$AE$22,MATCH(H20,Scoreboard!$B$1:$AE$1,0)),""))</f>
        <v/>
      </c>
      <c r="J20">
        <f>IF(H20="","",IFERROR(INDEX(Config!$D$2:$D$31,MATCH(H20,Config!$C$2:$C$31,0)),""))</f>
        <v/>
      </c>
      <c r="K20">
        <f>IF(OR(H20="",I20="",J20=""),"",I20-J20)</f>
        <v/>
      </c>
      <c r="L20">
        <f>IF(OR(H20="",I20=""),"",IFERROR(INDEX(Scoreboard!$A$2:$A$21,MATCH(MIN(INDEX(Scoreboard!$B$2:$AE$21,0,MATCH(H20,Scoreboard!$B$1:$AE$1,0))),INDEX(Scoreboard!$B$2:$AE$21,0,MATCH(H20,Scoreboard!$B$1:$AE$1,0)),0)),""))</f>
        <v/>
      </c>
    </row>
    <row r="21">
      <c r="A21" s="9">
        <f>IF(B21="","",ROW()-3)</f>
        <v/>
      </c>
      <c r="C21" s="4" t="n"/>
      <c r="D21" s="4" t="n"/>
      <c r="E21" s="4" t="n"/>
      <c r="H21">
        <f>IFERROR(Config!C21,"")</f>
        <v/>
      </c>
      <c r="I21">
        <f>IF(H21="","",IFERROR(INDEX(Scoreboard!$B$22:$AE$22,MATCH(H21,Scoreboard!$B$1:$AE$1,0)),""))</f>
        <v/>
      </c>
      <c r="J21">
        <f>IF(H21="","",IFERROR(INDEX(Config!$D$2:$D$31,MATCH(H21,Config!$C$2:$C$31,0)),""))</f>
        <v/>
      </c>
      <c r="K21">
        <f>IF(OR(H21="",I21="",J21=""),"",I21-J21)</f>
        <v/>
      </c>
      <c r="L21">
        <f>IF(OR(H21="",I21=""),"",IFERROR(INDEX(Scoreboard!$A$2:$A$21,MATCH(MIN(INDEX(Scoreboard!$B$2:$AE$21,0,MATCH(H21,Scoreboard!$B$1:$AE$1,0))),INDEX(Scoreboard!$B$2:$AE$21,0,MATCH(H21,Scoreboard!$B$1:$AE$1,0)),0)),""))</f>
        <v/>
      </c>
    </row>
    <row r="22">
      <c r="A22" s="9">
        <f>IF(B22="","",ROW()-3)</f>
        <v/>
      </c>
      <c r="C22" s="4" t="n"/>
      <c r="D22" s="4" t="n"/>
      <c r="E22" s="4" t="n"/>
      <c r="H22">
        <f>IFERROR(Config!C22,"")</f>
        <v/>
      </c>
      <c r="I22">
        <f>IF(H22="","",IFERROR(INDEX(Scoreboard!$B$22:$AE$22,MATCH(H22,Scoreboard!$B$1:$AE$1,0)),""))</f>
        <v/>
      </c>
      <c r="J22">
        <f>IF(H22="","",IFERROR(INDEX(Config!$D$2:$D$31,MATCH(H22,Config!$C$2:$C$31,0)),""))</f>
        <v/>
      </c>
      <c r="K22">
        <f>IF(OR(H22="",I22="",J22=""),"",I22-J22)</f>
        <v/>
      </c>
      <c r="L22">
        <f>IF(OR(H22="",I22=""),"",IFERROR(INDEX(Scoreboard!$A$2:$A$21,MATCH(MIN(INDEX(Scoreboard!$B$2:$AE$21,0,MATCH(H22,Scoreboard!$B$1:$AE$1,0))),INDEX(Scoreboard!$B$2:$AE$21,0,MATCH(H22,Scoreboard!$B$1:$AE$1,0)),0)),""))</f>
        <v/>
      </c>
    </row>
    <row r="23">
      <c r="A23" s="9">
        <f>IF(B23="","",ROW()-3)</f>
        <v/>
      </c>
      <c r="C23" s="4" t="n"/>
      <c r="D23" s="4" t="n"/>
      <c r="E23" s="4" t="n"/>
      <c r="H23">
        <f>IFERROR(Config!C23,"")</f>
        <v/>
      </c>
      <c r="I23">
        <f>IF(H23="","",IFERROR(INDEX(Scoreboard!$B$22:$AE$22,MATCH(H23,Scoreboard!$B$1:$AE$1,0)),""))</f>
        <v/>
      </c>
      <c r="J23">
        <f>IF(H23="","",IFERROR(INDEX(Config!$D$2:$D$31,MATCH(H23,Config!$C$2:$C$31,0)),""))</f>
        <v/>
      </c>
      <c r="K23">
        <f>IF(OR(H23="",I23="",J23=""),"",I23-J23)</f>
        <v/>
      </c>
      <c r="L23">
        <f>IF(OR(H23="",I23=""),"",IFERROR(INDEX(Scoreboard!$A$2:$A$21,MATCH(MIN(INDEX(Scoreboard!$B$2:$AE$21,0,MATCH(H23,Scoreboard!$B$1:$AE$1,0))),INDEX(Scoreboard!$B$2:$AE$21,0,MATCH(H23,Scoreboard!$B$1:$AE$1,0)),0)),""))</f>
        <v/>
      </c>
    </row>
    <row r="24">
      <c r="A24" s="9">
        <f>IF(B24="","",ROW()-3)</f>
        <v/>
      </c>
      <c r="C24" s="4" t="n"/>
      <c r="D24" s="4" t="n"/>
      <c r="E24" s="4" t="n"/>
      <c r="H24">
        <f>IFERROR(Config!C24,"")</f>
        <v/>
      </c>
      <c r="I24">
        <f>IF(H24="","",IFERROR(INDEX(Scoreboard!$B$22:$AE$22,MATCH(H24,Scoreboard!$B$1:$AE$1,0)),""))</f>
        <v/>
      </c>
      <c r="J24">
        <f>IF(H24="","",IFERROR(INDEX(Config!$D$2:$D$31,MATCH(H24,Config!$C$2:$C$31,0)),""))</f>
        <v/>
      </c>
      <c r="K24">
        <f>IF(OR(H24="",I24="",J24=""),"",I24-J24)</f>
        <v/>
      </c>
      <c r="L24">
        <f>IF(OR(H24="",I24=""),"",IFERROR(INDEX(Scoreboard!$A$2:$A$21,MATCH(MIN(INDEX(Scoreboard!$B$2:$AE$21,0,MATCH(H24,Scoreboard!$B$1:$AE$1,0))),INDEX(Scoreboard!$B$2:$AE$21,0,MATCH(H24,Scoreboard!$B$1:$AE$1,0)),0)),""))</f>
        <v/>
      </c>
    </row>
    <row r="25">
      <c r="A25" s="9">
        <f>IF(B25="","",ROW()-3)</f>
        <v/>
      </c>
      <c r="C25" s="4" t="n"/>
      <c r="D25" s="4" t="n"/>
      <c r="E25" s="4" t="n"/>
      <c r="H25">
        <f>IFERROR(Config!C25,"")</f>
        <v/>
      </c>
      <c r="I25">
        <f>IF(H25="","",IFERROR(INDEX(Scoreboard!$B$22:$AE$22,MATCH(H25,Scoreboard!$B$1:$AE$1,0)),""))</f>
        <v/>
      </c>
      <c r="J25">
        <f>IF(H25="","",IFERROR(INDEX(Config!$D$2:$D$31,MATCH(H25,Config!$C$2:$C$31,0)),""))</f>
        <v/>
      </c>
      <c r="K25">
        <f>IF(OR(H25="",I25="",J25=""),"",I25-J25)</f>
        <v/>
      </c>
      <c r="L25">
        <f>IF(OR(H25="",I25=""),"",IFERROR(INDEX(Scoreboard!$A$2:$A$21,MATCH(MIN(INDEX(Scoreboard!$B$2:$AE$21,0,MATCH(H25,Scoreboard!$B$1:$AE$1,0))),INDEX(Scoreboard!$B$2:$AE$21,0,MATCH(H25,Scoreboard!$B$1:$AE$1,0)),0)),""))</f>
        <v/>
      </c>
    </row>
    <row r="26">
      <c r="A26" s="9">
        <f>IF(B26="","",ROW()-3)</f>
        <v/>
      </c>
      <c r="C26" s="4" t="n"/>
      <c r="D26" s="4" t="n"/>
      <c r="E26" s="4" t="n"/>
      <c r="H26">
        <f>IFERROR(Config!C26,"")</f>
        <v/>
      </c>
      <c r="I26">
        <f>IF(H26="","",IFERROR(INDEX(Scoreboard!$B$22:$AE$22,MATCH(H26,Scoreboard!$B$1:$AE$1,0)),""))</f>
        <v/>
      </c>
      <c r="J26">
        <f>IF(H26="","",IFERROR(INDEX(Config!$D$2:$D$31,MATCH(H26,Config!$C$2:$C$31,0)),""))</f>
        <v/>
      </c>
      <c r="K26">
        <f>IF(OR(H26="",I26="",J26=""),"",I26-J26)</f>
        <v/>
      </c>
      <c r="L26">
        <f>IF(OR(H26="",I26=""),"",IFERROR(INDEX(Scoreboard!$A$2:$A$21,MATCH(MIN(INDEX(Scoreboard!$B$2:$AE$21,0,MATCH(H26,Scoreboard!$B$1:$AE$1,0))),INDEX(Scoreboard!$B$2:$AE$21,0,MATCH(H26,Scoreboard!$B$1:$AE$1,0)),0)),""))</f>
        <v/>
      </c>
    </row>
    <row r="27">
      <c r="A27" s="9">
        <f>IF(B27="","",ROW()-3)</f>
        <v/>
      </c>
      <c r="C27" s="4" t="n"/>
      <c r="D27" s="4" t="n"/>
      <c r="E27" s="4" t="n"/>
      <c r="H27">
        <f>IFERROR(Config!C27,"")</f>
        <v/>
      </c>
      <c r="I27">
        <f>IF(H27="","",IFERROR(INDEX(Scoreboard!$B$22:$AE$22,MATCH(H27,Scoreboard!$B$1:$AE$1,0)),""))</f>
        <v/>
      </c>
      <c r="J27">
        <f>IF(H27="","",IFERROR(INDEX(Config!$D$2:$D$31,MATCH(H27,Config!$C$2:$C$31,0)),""))</f>
        <v/>
      </c>
      <c r="K27">
        <f>IF(OR(H27="",I27="",J27=""),"",I27-J27)</f>
        <v/>
      </c>
      <c r="L27">
        <f>IF(OR(H27="",I27=""),"",IFERROR(INDEX(Scoreboard!$A$2:$A$21,MATCH(MIN(INDEX(Scoreboard!$B$2:$AE$21,0,MATCH(H27,Scoreboard!$B$1:$AE$1,0))),INDEX(Scoreboard!$B$2:$AE$21,0,MATCH(H27,Scoreboard!$B$1:$AE$1,0)),0)),""))</f>
        <v/>
      </c>
    </row>
    <row r="28">
      <c r="A28" s="9">
        <f>IF(B28="","",ROW()-3)</f>
        <v/>
      </c>
      <c r="C28" s="4" t="n"/>
      <c r="D28" s="4" t="n"/>
      <c r="E28" s="4" t="n"/>
      <c r="H28">
        <f>IFERROR(Config!C28,"")</f>
        <v/>
      </c>
      <c r="I28">
        <f>IF(H28="","",IFERROR(INDEX(Scoreboard!$B$22:$AE$22,MATCH(H28,Scoreboard!$B$1:$AE$1,0)),""))</f>
        <v/>
      </c>
      <c r="J28">
        <f>IF(H28="","",IFERROR(INDEX(Config!$D$2:$D$31,MATCH(H28,Config!$C$2:$C$31,0)),""))</f>
        <v/>
      </c>
      <c r="K28">
        <f>IF(OR(H28="",I28="",J28=""),"",I28-J28)</f>
        <v/>
      </c>
      <c r="L28">
        <f>IF(OR(H28="",I28=""),"",IFERROR(INDEX(Scoreboard!$A$2:$A$21,MATCH(MIN(INDEX(Scoreboard!$B$2:$AE$21,0,MATCH(H28,Scoreboard!$B$1:$AE$1,0))),INDEX(Scoreboard!$B$2:$AE$21,0,MATCH(H28,Scoreboard!$B$1:$AE$1,0)),0)),""))</f>
        <v/>
      </c>
    </row>
    <row r="29">
      <c r="A29" s="9">
        <f>IF(B29="","",ROW()-3)</f>
        <v/>
      </c>
      <c r="C29" s="4" t="n"/>
      <c r="D29" s="4" t="n"/>
      <c r="E29" s="4" t="n"/>
      <c r="H29">
        <f>IFERROR(Config!C29,"")</f>
        <v/>
      </c>
      <c r="I29">
        <f>IF(H29="","",IFERROR(INDEX(Scoreboard!$B$22:$AE$22,MATCH(H29,Scoreboard!$B$1:$AE$1,0)),""))</f>
        <v/>
      </c>
      <c r="J29">
        <f>IF(H29="","",IFERROR(INDEX(Config!$D$2:$D$31,MATCH(H29,Config!$C$2:$C$31,0)),""))</f>
        <v/>
      </c>
      <c r="K29">
        <f>IF(OR(H29="",I29="",J29=""),"",I29-J29)</f>
        <v/>
      </c>
      <c r="L29">
        <f>IF(OR(H29="",I29=""),"",IFERROR(INDEX(Scoreboard!$A$2:$A$21,MATCH(MIN(INDEX(Scoreboard!$B$2:$AE$21,0,MATCH(H29,Scoreboard!$B$1:$AE$1,0))),INDEX(Scoreboard!$B$2:$AE$21,0,MATCH(H29,Scoreboard!$B$1:$AE$1,0)),0)),""))</f>
        <v/>
      </c>
    </row>
    <row r="30">
      <c r="A30" s="9">
        <f>IF(B30="","",ROW()-3)</f>
        <v/>
      </c>
      <c r="C30" s="4" t="n"/>
      <c r="D30" s="4" t="n"/>
      <c r="E30" s="4" t="n"/>
      <c r="H30">
        <f>IFERROR(Config!C30,"")</f>
        <v/>
      </c>
      <c r="I30">
        <f>IF(H30="","",IFERROR(INDEX(Scoreboard!$B$22:$AE$22,MATCH(H30,Scoreboard!$B$1:$AE$1,0)),""))</f>
        <v/>
      </c>
      <c r="J30">
        <f>IF(H30="","",IFERROR(INDEX(Config!$D$2:$D$31,MATCH(H30,Config!$C$2:$C$31,0)),""))</f>
        <v/>
      </c>
      <c r="K30">
        <f>IF(OR(H30="",I30="",J30=""),"",I30-J30)</f>
        <v/>
      </c>
      <c r="L30">
        <f>IF(OR(H30="",I30=""),"",IFERROR(INDEX(Scoreboard!$A$2:$A$21,MATCH(MIN(INDEX(Scoreboard!$B$2:$AE$21,0,MATCH(H30,Scoreboard!$B$1:$AE$1,0))),INDEX(Scoreboard!$B$2:$AE$21,0,MATCH(H30,Scoreboard!$B$1:$AE$1,0)),0)),""))</f>
        <v/>
      </c>
    </row>
    <row r="31">
      <c r="A31" s="9">
        <f>IF(B31="","",ROW()-3)</f>
        <v/>
      </c>
      <c r="C31" s="4" t="n"/>
      <c r="D31" s="4" t="n"/>
      <c r="E31" s="4" t="n"/>
      <c r="H31">
        <f>IFERROR(Config!C31,"")</f>
        <v/>
      </c>
      <c r="I31">
        <f>IF(H31="","",IFERROR(INDEX(Scoreboard!$B$22:$AE$22,MATCH(H31,Scoreboard!$B$1:$AE$1,0)),""))</f>
        <v/>
      </c>
      <c r="J31">
        <f>IF(H31="","",IFERROR(INDEX(Config!$D$2:$D$31,MATCH(H31,Config!$C$2:$C$31,0)),""))</f>
        <v/>
      </c>
      <c r="K31">
        <f>IF(OR(H31="",I31="",J31=""),"",I31-J31)</f>
        <v/>
      </c>
      <c r="L31">
        <f>IF(OR(H31="",I31=""),"",IFERROR(INDEX(Scoreboard!$A$2:$A$21,MATCH(MIN(INDEX(Scoreboard!$B$2:$AE$21,0,MATCH(H31,Scoreboard!$B$1:$AE$1,0))),INDEX(Scoreboard!$B$2:$AE$21,0,MATCH(H31,Scoreboard!$B$1:$AE$1,0)),0)),""))</f>
        <v/>
      </c>
    </row>
    <row r="32">
      <c r="A32" s="9">
        <f>IF(B32="","",ROW()-3)</f>
        <v/>
      </c>
      <c r="C32" s="4" t="n"/>
      <c r="D32" s="4" t="n"/>
      <c r="E32" s="4" t="n"/>
    </row>
    <row r="33">
      <c r="A33" s="9">
        <f>IF(B33="","",ROW()-3)</f>
        <v/>
      </c>
      <c r="C33" s="4" t="n"/>
      <c r="D33" s="4" t="n"/>
      <c r="E3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2" customWidth="1" min="4" max="4"/>
  </cols>
  <sheetData>
    <row r="1">
      <c r="A1" s="8">
        <f>IF(C1="","Add scores to see today's drill","Today (" &amp; TEXT(Config!$I$4,"ddd dd mmm yyyy") &amp; ") — drill:")</f>
        <v/>
      </c>
      <c r="C1" s="10">
        <f>IFERROR('Training Priority'!$B$4,IFERROR(Config!$C$2,""))</f>
        <v/>
      </c>
    </row>
    <row r="3">
      <c r="A3" s="1" t="inlineStr">
        <is>
          <t>Date</t>
        </is>
      </c>
      <c r="B3" s="1" t="inlineStr">
        <is>
          <t>Subject (weakest first)</t>
        </is>
      </c>
      <c r="C3" s="1" t="inlineStr">
        <is>
          <t>Group Avg % now</t>
        </is>
      </c>
      <c r="D3" s="1" t="inlineStr">
        <is>
          <t>Manual override</t>
        </is>
      </c>
    </row>
    <row r="4">
      <c r="A4" s="3">
        <f>Config!$I$4</f>
        <v/>
      </c>
      <c r="B4">
        <f>IF($D4&lt;&gt;"",$D4,IFERROR(INDEX('Training Priority'!$B$4:$B$33,1),IFERROR(INDEX(Config!$C$2:$C$31,1),"")))</f>
        <v/>
      </c>
      <c r="C4" s="4">
        <f>IF($B4="","",IFERROR(INDEX(Scoreboard!$B$22:$AE$22,MATCH($B4,Scoreboard!$B$1:$AE$1,0)),""))</f>
        <v/>
      </c>
    </row>
    <row r="5">
      <c r="A5" s="3">
        <f>A4+1</f>
        <v/>
      </c>
      <c r="B5">
        <f>IF($D5&lt;&gt;"",$D5,IFERROR(INDEX('Training Priority'!$B$4:$B$33,2),IFERROR(INDEX(Config!$C$2:$C$31,2),"")))</f>
        <v/>
      </c>
      <c r="C5" s="4">
        <f>IF($B5="","",IFERROR(INDEX(Scoreboard!$B$22:$AE$22,MATCH($B5,Scoreboard!$B$1:$AE$1,0)),""))</f>
        <v/>
      </c>
    </row>
    <row r="6">
      <c r="A6" s="3">
        <f>A5+1</f>
        <v/>
      </c>
      <c r="B6">
        <f>IF($D6&lt;&gt;"",$D6,IFERROR(INDEX('Training Priority'!$B$4:$B$33,3),IFERROR(INDEX(Config!$C$2:$C$31,3),"")))</f>
        <v/>
      </c>
      <c r="C6" s="4">
        <f>IF($B6="","",IFERROR(INDEX(Scoreboard!$B$22:$AE$22,MATCH($B6,Scoreboard!$B$1:$AE$1,0)),""))</f>
        <v/>
      </c>
    </row>
    <row r="7">
      <c r="A7" s="3">
        <f>A6+1</f>
        <v/>
      </c>
      <c r="B7">
        <f>IF($D7&lt;&gt;"",$D7,IFERROR(INDEX('Training Priority'!$B$4:$B$33,4),IFERROR(INDEX(Config!$C$2:$C$31,4),"")))</f>
        <v/>
      </c>
      <c r="C7" s="4">
        <f>IF($B7="","",IFERROR(INDEX(Scoreboard!$B$22:$AE$22,MATCH($B7,Scoreboard!$B$1:$AE$1,0)),""))</f>
        <v/>
      </c>
    </row>
    <row r="8">
      <c r="A8" s="3">
        <f>A7+1</f>
        <v/>
      </c>
      <c r="B8">
        <f>IF($D8&lt;&gt;"",$D8,IFERROR(INDEX('Training Priority'!$B$4:$B$33,5),IFERROR(INDEX(Config!$C$2:$C$31,5),"")))</f>
        <v/>
      </c>
      <c r="C8" s="4">
        <f>IF($B8="","",IFERROR(INDEX(Scoreboard!$B$22:$AE$22,MATCH($B8,Scoreboard!$B$1:$AE$1,0)),""))</f>
        <v/>
      </c>
    </row>
    <row r="9">
      <c r="A9" s="3">
        <f>A8+1</f>
        <v/>
      </c>
      <c r="B9">
        <f>IF($D9&lt;&gt;"",$D9,IFERROR(INDEX('Training Priority'!$B$4:$B$33,6),IFERROR(INDEX(Config!$C$2:$C$31,6),"")))</f>
        <v/>
      </c>
      <c r="C9" s="4">
        <f>IF($B9="","",IFERROR(INDEX(Scoreboard!$B$22:$AE$22,MATCH($B9,Scoreboard!$B$1:$AE$1,0)),""))</f>
        <v/>
      </c>
    </row>
    <row r="10">
      <c r="A10" s="3">
        <f>A9+1</f>
        <v/>
      </c>
      <c r="B10">
        <f>IF($D10&lt;&gt;"",$D10,IFERROR(INDEX('Training Priority'!$B$4:$B$33,7),IFERROR(INDEX(Config!$C$2:$C$31,7),"")))</f>
        <v/>
      </c>
      <c r="C10" s="4">
        <f>IF($B10="","",IFERROR(INDEX(Scoreboard!$B$22:$AE$22,MATCH($B10,Scoreboard!$B$1:$AE$1,0)),""))</f>
        <v/>
      </c>
    </row>
    <row r="12">
      <c r="A12" s="2" t="inlineStr">
        <is>
          <t>Type a subject in 'Manual override' to pin a day.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8" t="inlineStr">
        <is>
          <t>Gap vs Group Avg  (green = ahead, red = behind)</t>
        </is>
      </c>
    </row>
    <row r="3">
      <c r="A3" s="1" t="inlineStr">
        <is>
          <t>Member \ Subject</t>
        </is>
      </c>
      <c r="B3" s="1">
        <f>IFERROR(Config!C2,"")</f>
        <v/>
      </c>
      <c r="C3" s="1">
        <f>IFERROR(Config!C3,"")</f>
        <v/>
      </c>
      <c r="D3" s="1">
        <f>IFERROR(Config!C4,"")</f>
        <v/>
      </c>
      <c r="E3" s="1">
        <f>IFERROR(Config!C5,"")</f>
        <v/>
      </c>
      <c r="F3" s="1">
        <f>IFERROR(Config!C6,"")</f>
        <v/>
      </c>
      <c r="G3" s="1">
        <f>IFERROR(Config!C7,"")</f>
        <v/>
      </c>
      <c r="H3" s="1">
        <f>IFERROR(Config!C8,"")</f>
        <v/>
      </c>
      <c r="I3" s="1">
        <f>IFERROR(Config!C9,"")</f>
        <v/>
      </c>
      <c r="J3" s="1">
        <f>IFERROR(Config!C10,"")</f>
        <v/>
      </c>
      <c r="K3" s="1">
        <f>IFERROR(Config!C11,"")</f>
        <v/>
      </c>
      <c r="L3" s="1">
        <f>IFERROR(Config!C12,"")</f>
        <v/>
      </c>
      <c r="M3" s="1">
        <f>IFERROR(Config!C13,"")</f>
        <v/>
      </c>
      <c r="N3" s="1">
        <f>IFERROR(Config!C14,"")</f>
        <v/>
      </c>
      <c r="O3" s="1">
        <f>IFERROR(Config!C15,"")</f>
        <v/>
      </c>
      <c r="P3" s="1">
        <f>IFERROR(Config!C16,"")</f>
        <v/>
      </c>
      <c r="Q3" s="1">
        <f>IFERROR(Config!C17,"")</f>
        <v/>
      </c>
      <c r="R3" s="1">
        <f>IFERROR(Config!C18,"")</f>
        <v/>
      </c>
      <c r="S3" s="1">
        <f>IFERROR(Config!C19,"")</f>
        <v/>
      </c>
      <c r="T3" s="1">
        <f>IFERROR(Config!C20,"")</f>
        <v/>
      </c>
      <c r="U3" s="1">
        <f>IFERROR(Config!C21,"")</f>
        <v/>
      </c>
      <c r="V3" s="1">
        <f>IFERROR(Config!C22,"")</f>
        <v/>
      </c>
      <c r="W3" s="1">
        <f>IFERROR(Config!C23,"")</f>
        <v/>
      </c>
      <c r="X3" s="1">
        <f>IFERROR(Config!C24,"")</f>
        <v/>
      </c>
      <c r="Y3" s="1">
        <f>IFERROR(Config!C25,"")</f>
        <v/>
      </c>
      <c r="Z3" s="1">
        <f>IFERROR(Config!C26,"")</f>
        <v/>
      </c>
      <c r="AA3" s="1">
        <f>IFERROR(Config!C27,"")</f>
        <v/>
      </c>
      <c r="AB3" s="1">
        <f>IFERROR(Config!C28,"")</f>
        <v/>
      </c>
      <c r="AC3" s="1">
        <f>IFERROR(Config!C29,"")</f>
        <v/>
      </c>
      <c r="AD3" s="1">
        <f>IFERROR(Config!C30,"")</f>
        <v/>
      </c>
      <c r="AE3" s="1">
        <f>IFERROR(Config!C31,"")</f>
        <v/>
      </c>
    </row>
    <row r="4">
      <c r="A4" s="5">
        <f>IFERROR(Config!A2,"")</f>
        <v/>
      </c>
      <c r="B4" s="11">
        <f>IF(OR($A4="",B$3=""),"",IFERROR(INDEX(Scoreboard!$B$2:$AE$21,MATCH($A4,Scoreboard!$A$2:$A$21,0),MATCH(B$3,Scoreboard!$B$1:$AE$1,0))-INDEX(Scoreboard!$B$22:$AE$22,MATCH(B$3,Scoreboard!$B$1:$AE$1,0)),""))</f>
        <v/>
      </c>
      <c r="C4" s="11">
        <f>IF(OR($A4="",C$3=""),"",IFERROR(INDEX(Scoreboard!$B$2:$AE$21,MATCH($A4,Scoreboard!$A$2:$A$21,0),MATCH(C$3,Scoreboard!$B$1:$AE$1,0))-INDEX(Scoreboard!$B$22:$AE$22,MATCH(C$3,Scoreboard!$B$1:$AE$1,0)),""))</f>
        <v/>
      </c>
      <c r="D4" s="11">
        <f>IF(OR($A4="",D$3=""),"",IFERROR(INDEX(Scoreboard!$B$2:$AE$21,MATCH($A4,Scoreboard!$A$2:$A$21,0),MATCH(D$3,Scoreboard!$B$1:$AE$1,0))-INDEX(Scoreboard!$B$22:$AE$22,MATCH(D$3,Scoreboard!$B$1:$AE$1,0)),""))</f>
        <v/>
      </c>
      <c r="E4" s="11">
        <f>IF(OR($A4="",E$3=""),"",IFERROR(INDEX(Scoreboard!$B$2:$AE$21,MATCH($A4,Scoreboard!$A$2:$A$21,0),MATCH(E$3,Scoreboard!$B$1:$AE$1,0))-INDEX(Scoreboard!$B$22:$AE$22,MATCH(E$3,Scoreboard!$B$1:$AE$1,0)),""))</f>
        <v/>
      </c>
      <c r="F4" s="11">
        <f>IF(OR($A4="",F$3=""),"",IFERROR(INDEX(Scoreboard!$B$2:$AE$21,MATCH($A4,Scoreboard!$A$2:$A$21,0),MATCH(F$3,Scoreboard!$B$1:$AE$1,0))-INDEX(Scoreboard!$B$22:$AE$22,MATCH(F$3,Scoreboard!$B$1:$AE$1,0)),""))</f>
        <v/>
      </c>
      <c r="G4" s="11">
        <f>IF(OR($A4="",G$3=""),"",IFERROR(INDEX(Scoreboard!$B$2:$AE$21,MATCH($A4,Scoreboard!$A$2:$A$21,0),MATCH(G$3,Scoreboard!$B$1:$AE$1,0))-INDEX(Scoreboard!$B$22:$AE$22,MATCH(G$3,Scoreboard!$B$1:$AE$1,0)),""))</f>
        <v/>
      </c>
      <c r="H4" s="11">
        <f>IF(OR($A4="",H$3=""),"",IFERROR(INDEX(Scoreboard!$B$2:$AE$21,MATCH($A4,Scoreboard!$A$2:$A$21,0),MATCH(H$3,Scoreboard!$B$1:$AE$1,0))-INDEX(Scoreboard!$B$22:$AE$22,MATCH(H$3,Scoreboard!$B$1:$AE$1,0)),""))</f>
        <v/>
      </c>
      <c r="I4" s="11">
        <f>IF(OR($A4="",I$3=""),"",IFERROR(INDEX(Scoreboard!$B$2:$AE$21,MATCH($A4,Scoreboard!$A$2:$A$21,0),MATCH(I$3,Scoreboard!$B$1:$AE$1,0))-INDEX(Scoreboard!$B$22:$AE$22,MATCH(I$3,Scoreboard!$B$1:$AE$1,0)),""))</f>
        <v/>
      </c>
      <c r="J4" s="11">
        <f>IF(OR($A4="",J$3=""),"",IFERROR(INDEX(Scoreboard!$B$2:$AE$21,MATCH($A4,Scoreboard!$A$2:$A$21,0),MATCH(J$3,Scoreboard!$B$1:$AE$1,0))-INDEX(Scoreboard!$B$22:$AE$22,MATCH(J$3,Scoreboard!$B$1:$AE$1,0)),""))</f>
        <v/>
      </c>
      <c r="K4" s="11">
        <f>IF(OR($A4="",K$3=""),"",IFERROR(INDEX(Scoreboard!$B$2:$AE$21,MATCH($A4,Scoreboard!$A$2:$A$21,0),MATCH(K$3,Scoreboard!$B$1:$AE$1,0))-INDEX(Scoreboard!$B$22:$AE$22,MATCH(K$3,Scoreboard!$B$1:$AE$1,0)),""))</f>
        <v/>
      </c>
      <c r="L4" s="11">
        <f>IF(OR($A4="",L$3=""),"",IFERROR(INDEX(Scoreboard!$B$2:$AE$21,MATCH($A4,Scoreboard!$A$2:$A$21,0),MATCH(L$3,Scoreboard!$B$1:$AE$1,0))-INDEX(Scoreboard!$B$22:$AE$22,MATCH(L$3,Scoreboard!$B$1:$AE$1,0)),""))</f>
        <v/>
      </c>
      <c r="M4" s="11">
        <f>IF(OR($A4="",M$3=""),"",IFERROR(INDEX(Scoreboard!$B$2:$AE$21,MATCH($A4,Scoreboard!$A$2:$A$21,0),MATCH(M$3,Scoreboard!$B$1:$AE$1,0))-INDEX(Scoreboard!$B$22:$AE$22,MATCH(M$3,Scoreboard!$B$1:$AE$1,0)),""))</f>
        <v/>
      </c>
      <c r="N4" s="11">
        <f>IF(OR($A4="",N$3=""),"",IFERROR(INDEX(Scoreboard!$B$2:$AE$21,MATCH($A4,Scoreboard!$A$2:$A$21,0),MATCH(N$3,Scoreboard!$B$1:$AE$1,0))-INDEX(Scoreboard!$B$22:$AE$22,MATCH(N$3,Scoreboard!$B$1:$AE$1,0)),""))</f>
        <v/>
      </c>
      <c r="O4" s="11">
        <f>IF(OR($A4="",O$3=""),"",IFERROR(INDEX(Scoreboard!$B$2:$AE$21,MATCH($A4,Scoreboard!$A$2:$A$21,0),MATCH(O$3,Scoreboard!$B$1:$AE$1,0))-INDEX(Scoreboard!$B$22:$AE$22,MATCH(O$3,Scoreboard!$B$1:$AE$1,0)),""))</f>
        <v/>
      </c>
      <c r="P4" s="11">
        <f>IF(OR($A4="",P$3=""),"",IFERROR(INDEX(Scoreboard!$B$2:$AE$21,MATCH($A4,Scoreboard!$A$2:$A$21,0),MATCH(P$3,Scoreboard!$B$1:$AE$1,0))-INDEX(Scoreboard!$B$22:$AE$22,MATCH(P$3,Scoreboard!$B$1:$AE$1,0)),""))</f>
        <v/>
      </c>
      <c r="Q4" s="11">
        <f>IF(OR($A4="",Q$3=""),"",IFERROR(INDEX(Scoreboard!$B$2:$AE$21,MATCH($A4,Scoreboard!$A$2:$A$21,0),MATCH(Q$3,Scoreboard!$B$1:$AE$1,0))-INDEX(Scoreboard!$B$22:$AE$22,MATCH(Q$3,Scoreboard!$B$1:$AE$1,0)),""))</f>
        <v/>
      </c>
      <c r="R4" s="11">
        <f>IF(OR($A4="",R$3=""),"",IFERROR(INDEX(Scoreboard!$B$2:$AE$21,MATCH($A4,Scoreboard!$A$2:$A$21,0),MATCH(R$3,Scoreboard!$B$1:$AE$1,0))-INDEX(Scoreboard!$B$22:$AE$22,MATCH(R$3,Scoreboard!$B$1:$AE$1,0)),""))</f>
        <v/>
      </c>
      <c r="S4" s="11">
        <f>IF(OR($A4="",S$3=""),"",IFERROR(INDEX(Scoreboard!$B$2:$AE$21,MATCH($A4,Scoreboard!$A$2:$A$21,0),MATCH(S$3,Scoreboard!$B$1:$AE$1,0))-INDEX(Scoreboard!$B$22:$AE$22,MATCH(S$3,Scoreboard!$B$1:$AE$1,0)),""))</f>
        <v/>
      </c>
      <c r="T4" s="11">
        <f>IF(OR($A4="",T$3=""),"",IFERROR(INDEX(Scoreboard!$B$2:$AE$21,MATCH($A4,Scoreboard!$A$2:$A$21,0),MATCH(T$3,Scoreboard!$B$1:$AE$1,0))-INDEX(Scoreboard!$B$22:$AE$22,MATCH(T$3,Scoreboard!$B$1:$AE$1,0)),""))</f>
        <v/>
      </c>
      <c r="U4" s="11">
        <f>IF(OR($A4="",U$3=""),"",IFERROR(INDEX(Scoreboard!$B$2:$AE$21,MATCH($A4,Scoreboard!$A$2:$A$21,0),MATCH(U$3,Scoreboard!$B$1:$AE$1,0))-INDEX(Scoreboard!$B$22:$AE$22,MATCH(U$3,Scoreboard!$B$1:$AE$1,0)),""))</f>
        <v/>
      </c>
      <c r="V4" s="11">
        <f>IF(OR($A4="",V$3=""),"",IFERROR(INDEX(Scoreboard!$B$2:$AE$21,MATCH($A4,Scoreboard!$A$2:$A$21,0),MATCH(V$3,Scoreboard!$B$1:$AE$1,0))-INDEX(Scoreboard!$B$22:$AE$22,MATCH(V$3,Scoreboard!$B$1:$AE$1,0)),""))</f>
        <v/>
      </c>
      <c r="W4" s="11">
        <f>IF(OR($A4="",W$3=""),"",IFERROR(INDEX(Scoreboard!$B$2:$AE$21,MATCH($A4,Scoreboard!$A$2:$A$21,0),MATCH(W$3,Scoreboard!$B$1:$AE$1,0))-INDEX(Scoreboard!$B$22:$AE$22,MATCH(W$3,Scoreboard!$B$1:$AE$1,0)),""))</f>
        <v/>
      </c>
      <c r="X4" s="11">
        <f>IF(OR($A4="",X$3=""),"",IFERROR(INDEX(Scoreboard!$B$2:$AE$21,MATCH($A4,Scoreboard!$A$2:$A$21,0),MATCH(X$3,Scoreboard!$B$1:$AE$1,0))-INDEX(Scoreboard!$B$22:$AE$22,MATCH(X$3,Scoreboard!$B$1:$AE$1,0)),""))</f>
        <v/>
      </c>
      <c r="Y4" s="11">
        <f>IF(OR($A4="",Y$3=""),"",IFERROR(INDEX(Scoreboard!$B$2:$AE$21,MATCH($A4,Scoreboard!$A$2:$A$21,0),MATCH(Y$3,Scoreboard!$B$1:$AE$1,0))-INDEX(Scoreboard!$B$22:$AE$22,MATCH(Y$3,Scoreboard!$B$1:$AE$1,0)),""))</f>
        <v/>
      </c>
      <c r="Z4" s="11">
        <f>IF(OR($A4="",Z$3=""),"",IFERROR(INDEX(Scoreboard!$B$2:$AE$21,MATCH($A4,Scoreboard!$A$2:$A$21,0),MATCH(Z$3,Scoreboard!$B$1:$AE$1,0))-INDEX(Scoreboard!$B$22:$AE$22,MATCH(Z$3,Scoreboard!$B$1:$AE$1,0)),""))</f>
        <v/>
      </c>
      <c r="AA4" s="11">
        <f>IF(OR($A4="",AA$3=""),"",IFERROR(INDEX(Scoreboard!$B$2:$AE$21,MATCH($A4,Scoreboard!$A$2:$A$21,0),MATCH(AA$3,Scoreboard!$B$1:$AE$1,0))-INDEX(Scoreboard!$B$22:$AE$22,MATCH(AA$3,Scoreboard!$B$1:$AE$1,0)),""))</f>
        <v/>
      </c>
      <c r="AB4" s="11">
        <f>IF(OR($A4="",AB$3=""),"",IFERROR(INDEX(Scoreboard!$B$2:$AE$21,MATCH($A4,Scoreboard!$A$2:$A$21,0),MATCH(AB$3,Scoreboard!$B$1:$AE$1,0))-INDEX(Scoreboard!$B$22:$AE$22,MATCH(AB$3,Scoreboard!$B$1:$AE$1,0)),""))</f>
        <v/>
      </c>
      <c r="AC4" s="11">
        <f>IF(OR($A4="",AC$3=""),"",IFERROR(INDEX(Scoreboard!$B$2:$AE$21,MATCH($A4,Scoreboard!$A$2:$A$21,0),MATCH(AC$3,Scoreboard!$B$1:$AE$1,0))-INDEX(Scoreboard!$B$22:$AE$22,MATCH(AC$3,Scoreboard!$B$1:$AE$1,0)),""))</f>
        <v/>
      </c>
      <c r="AD4" s="11">
        <f>IF(OR($A4="",AD$3=""),"",IFERROR(INDEX(Scoreboard!$B$2:$AE$21,MATCH($A4,Scoreboard!$A$2:$A$21,0),MATCH(AD$3,Scoreboard!$B$1:$AE$1,0))-INDEX(Scoreboard!$B$22:$AE$22,MATCH(AD$3,Scoreboard!$B$1:$AE$1,0)),""))</f>
        <v/>
      </c>
      <c r="AE4" s="11">
        <f>IF(OR($A4="",AE$3=""),"",IFERROR(INDEX(Scoreboard!$B$2:$AE$21,MATCH($A4,Scoreboard!$A$2:$A$21,0),MATCH(AE$3,Scoreboard!$B$1:$AE$1,0))-INDEX(Scoreboard!$B$22:$AE$22,MATCH(AE$3,Scoreboard!$B$1:$AE$1,0)),""))</f>
        <v/>
      </c>
    </row>
    <row r="5">
      <c r="A5" s="5">
        <f>IFERROR(Config!A3,"")</f>
        <v/>
      </c>
      <c r="B5" s="11">
        <f>IF(OR($A5="",B$3=""),"",IFERROR(INDEX(Scoreboard!$B$2:$AE$21,MATCH($A5,Scoreboard!$A$2:$A$21,0),MATCH(B$3,Scoreboard!$B$1:$AE$1,0))-INDEX(Scoreboard!$B$22:$AE$22,MATCH(B$3,Scoreboard!$B$1:$AE$1,0)),""))</f>
        <v/>
      </c>
      <c r="C5" s="11">
        <f>IF(OR($A5="",C$3=""),"",IFERROR(INDEX(Scoreboard!$B$2:$AE$21,MATCH($A5,Scoreboard!$A$2:$A$21,0),MATCH(C$3,Scoreboard!$B$1:$AE$1,0))-INDEX(Scoreboard!$B$22:$AE$22,MATCH(C$3,Scoreboard!$B$1:$AE$1,0)),""))</f>
        <v/>
      </c>
      <c r="D5" s="11">
        <f>IF(OR($A5="",D$3=""),"",IFERROR(INDEX(Scoreboard!$B$2:$AE$21,MATCH($A5,Scoreboard!$A$2:$A$21,0),MATCH(D$3,Scoreboard!$B$1:$AE$1,0))-INDEX(Scoreboard!$B$22:$AE$22,MATCH(D$3,Scoreboard!$B$1:$AE$1,0)),""))</f>
        <v/>
      </c>
      <c r="E5" s="11">
        <f>IF(OR($A5="",E$3=""),"",IFERROR(INDEX(Scoreboard!$B$2:$AE$21,MATCH($A5,Scoreboard!$A$2:$A$21,0),MATCH(E$3,Scoreboard!$B$1:$AE$1,0))-INDEX(Scoreboard!$B$22:$AE$22,MATCH(E$3,Scoreboard!$B$1:$AE$1,0)),""))</f>
        <v/>
      </c>
      <c r="F5" s="11">
        <f>IF(OR($A5="",F$3=""),"",IFERROR(INDEX(Scoreboard!$B$2:$AE$21,MATCH($A5,Scoreboard!$A$2:$A$21,0),MATCH(F$3,Scoreboard!$B$1:$AE$1,0))-INDEX(Scoreboard!$B$22:$AE$22,MATCH(F$3,Scoreboard!$B$1:$AE$1,0)),""))</f>
        <v/>
      </c>
      <c r="G5" s="11">
        <f>IF(OR($A5="",G$3=""),"",IFERROR(INDEX(Scoreboard!$B$2:$AE$21,MATCH($A5,Scoreboard!$A$2:$A$21,0),MATCH(G$3,Scoreboard!$B$1:$AE$1,0))-INDEX(Scoreboard!$B$22:$AE$22,MATCH(G$3,Scoreboard!$B$1:$AE$1,0)),""))</f>
        <v/>
      </c>
      <c r="H5" s="11">
        <f>IF(OR($A5="",H$3=""),"",IFERROR(INDEX(Scoreboard!$B$2:$AE$21,MATCH($A5,Scoreboard!$A$2:$A$21,0),MATCH(H$3,Scoreboard!$B$1:$AE$1,0))-INDEX(Scoreboard!$B$22:$AE$22,MATCH(H$3,Scoreboard!$B$1:$AE$1,0)),""))</f>
        <v/>
      </c>
      <c r="I5" s="11">
        <f>IF(OR($A5="",I$3=""),"",IFERROR(INDEX(Scoreboard!$B$2:$AE$21,MATCH($A5,Scoreboard!$A$2:$A$21,0),MATCH(I$3,Scoreboard!$B$1:$AE$1,0))-INDEX(Scoreboard!$B$22:$AE$22,MATCH(I$3,Scoreboard!$B$1:$AE$1,0)),""))</f>
        <v/>
      </c>
      <c r="J5" s="11">
        <f>IF(OR($A5="",J$3=""),"",IFERROR(INDEX(Scoreboard!$B$2:$AE$21,MATCH($A5,Scoreboard!$A$2:$A$21,0),MATCH(J$3,Scoreboard!$B$1:$AE$1,0))-INDEX(Scoreboard!$B$22:$AE$22,MATCH(J$3,Scoreboard!$B$1:$AE$1,0)),""))</f>
        <v/>
      </c>
      <c r="K5" s="11">
        <f>IF(OR($A5="",K$3=""),"",IFERROR(INDEX(Scoreboard!$B$2:$AE$21,MATCH($A5,Scoreboard!$A$2:$A$21,0),MATCH(K$3,Scoreboard!$B$1:$AE$1,0))-INDEX(Scoreboard!$B$22:$AE$22,MATCH(K$3,Scoreboard!$B$1:$AE$1,0)),""))</f>
        <v/>
      </c>
      <c r="L5" s="11">
        <f>IF(OR($A5="",L$3=""),"",IFERROR(INDEX(Scoreboard!$B$2:$AE$21,MATCH($A5,Scoreboard!$A$2:$A$21,0),MATCH(L$3,Scoreboard!$B$1:$AE$1,0))-INDEX(Scoreboard!$B$22:$AE$22,MATCH(L$3,Scoreboard!$B$1:$AE$1,0)),""))</f>
        <v/>
      </c>
      <c r="M5" s="11">
        <f>IF(OR($A5="",M$3=""),"",IFERROR(INDEX(Scoreboard!$B$2:$AE$21,MATCH($A5,Scoreboard!$A$2:$A$21,0),MATCH(M$3,Scoreboard!$B$1:$AE$1,0))-INDEX(Scoreboard!$B$22:$AE$22,MATCH(M$3,Scoreboard!$B$1:$AE$1,0)),""))</f>
        <v/>
      </c>
      <c r="N5" s="11">
        <f>IF(OR($A5="",N$3=""),"",IFERROR(INDEX(Scoreboard!$B$2:$AE$21,MATCH($A5,Scoreboard!$A$2:$A$21,0),MATCH(N$3,Scoreboard!$B$1:$AE$1,0))-INDEX(Scoreboard!$B$22:$AE$22,MATCH(N$3,Scoreboard!$B$1:$AE$1,0)),""))</f>
        <v/>
      </c>
      <c r="O5" s="11">
        <f>IF(OR($A5="",O$3=""),"",IFERROR(INDEX(Scoreboard!$B$2:$AE$21,MATCH($A5,Scoreboard!$A$2:$A$21,0),MATCH(O$3,Scoreboard!$B$1:$AE$1,0))-INDEX(Scoreboard!$B$22:$AE$22,MATCH(O$3,Scoreboard!$B$1:$AE$1,0)),""))</f>
        <v/>
      </c>
      <c r="P5" s="11">
        <f>IF(OR($A5="",P$3=""),"",IFERROR(INDEX(Scoreboard!$B$2:$AE$21,MATCH($A5,Scoreboard!$A$2:$A$21,0),MATCH(P$3,Scoreboard!$B$1:$AE$1,0))-INDEX(Scoreboard!$B$22:$AE$22,MATCH(P$3,Scoreboard!$B$1:$AE$1,0)),""))</f>
        <v/>
      </c>
      <c r="Q5" s="11">
        <f>IF(OR($A5="",Q$3=""),"",IFERROR(INDEX(Scoreboard!$B$2:$AE$21,MATCH($A5,Scoreboard!$A$2:$A$21,0),MATCH(Q$3,Scoreboard!$B$1:$AE$1,0))-INDEX(Scoreboard!$B$22:$AE$22,MATCH(Q$3,Scoreboard!$B$1:$AE$1,0)),""))</f>
        <v/>
      </c>
      <c r="R5" s="11">
        <f>IF(OR($A5="",R$3=""),"",IFERROR(INDEX(Scoreboard!$B$2:$AE$21,MATCH($A5,Scoreboard!$A$2:$A$21,0),MATCH(R$3,Scoreboard!$B$1:$AE$1,0))-INDEX(Scoreboard!$B$22:$AE$22,MATCH(R$3,Scoreboard!$B$1:$AE$1,0)),""))</f>
        <v/>
      </c>
      <c r="S5" s="11">
        <f>IF(OR($A5="",S$3=""),"",IFERROR(INDEX(Scoreboard!$B$2:$AE$21,MATCH($A5,Scoreboard!$A$2:$A$21,0),MATCH(S$3,Scoreboard!$B$1:$AE$1,0))-INDEX(Scoreboard!$B$22:$AE$22,MATCH(S$3,Scoreboard!$B$1:$AE$1,0)),""))</f>
        <v/>
      </c>
      <c r="T5" s="11">
        <f>IF(OR($A5="",T$3=""),"",IFERROR(INDEX(Scoreboard!$B$2:$AE$21,MATCH($A5,Scoreboard!$A$2:$A$21,0),MATCH(T$3,Scoreboard!$B$1:$AE$1,0))-INDEX(Scoreboard!$B$22:$AE$22,MATCH(T$3,Scoreboard!$B$1:$AE$1,0)),""))</f>
        <v/>
      </c>
      <c r="U5" s="11">
        <f>IF(OR($A5="",U$3=""),"",IFERROR(INDEX(Scoreboard!$B$2:$AE$21,MATCH($A5,Scoreboard!$A$2:$A$21,0),MATCH(U$3,Scoreboard!$B$1:$AE$1,0))-INDEX(Scoreboard!$B$22:$AE$22,MATCH(U$3,Scoreboard!$B$1:$AE$1,0)),""))</f>
        <v/>
      </c>
      <c r="V5" s="11">
        <f>IF(OR($A5="",V$3=""),"",IFERROR(INDEX(Scoreboard!$B$2:$AE$21,MATCH($A5,Scoreboard!$A$2:$A$21,0),MATCH(V$3,Scoreboard!$B$1:$AE$1,0))-INDEX(Scoreboard!$B$22:$AE$22,MATCH(V$3,Scoreboard!$B$1:$AE$1,0)),""))</f>
        <v/>
      </c>
      <c r="W5" s="11">
        <f>IF(OR($A5="",W$3=""),"",IFERROR(INDEX(Scoreboard!$B$2:$AE$21,MATCH($A5,Scoreboard!$A$2:$A$21,0),MATCH(W$3,Scoreboard!$B$1:$AE$1,0))-INDEX(Scoreboard!$B$22:$AE$22,MATCH(W$3,Scoreboard!$B$1:$AE$1,0)),""))</f>
        <v/>
      </c>
      <c r="X5" s="11">
        <f>IF(OR($A5="",X$3=""),"",IFERROR(INDEX(Scoreboard!$B$2:$AE$21,MATCH($A5,Scoreboard!$A$2:$A$21,0),MATCH(X$3,Scoreboard!$B$1:$AE$1,0))-INDEX(Scoreboard!$B$22:$AE$22,MATCH(X$3,Scoreboard!$B$1:$AE$1,0)),""))</f>
        <v/>
      </c>
      <c r="Y5" s="11">
        <f>IF(OR($A5="",Y$3=""),"",IFERROR(INDEX(Scoreboard!$B$2:$AE$21,MATCH($A5,Scoreboard!$A$2:$A$21,0),MATCH(Y$3,Scoreboard!$B$1:$AE$1,0))-INDEX(Scoreboard!$B$22:$AE$22,MATCH(Y$3,Scoreboard!$B$1:$AE$1,0)),""))</f>
        <v/>
      </c>
      <c r="Z5" s="11">
        <f>IF(OR($A5="",Z$3=""),"",IFERROR(INDEX(Scoreboard!$B$2:$AE$21,MATCH($A5,Scoreboard!$A$2:$A$21,0),MATCH(Z$3,Scoreboard!$B$1:$AE$1,0))-INDEX(Scoreboard!$B$22:$AE$22,MATCH(Z$3,Scoreboard!$B$1:$AE$1,0)),""))</f>
        <v/>
      </c>
      <c r="AA5" s="11">
        <f>IF(OR($A5="",AA$3=""),"",IFERROR(INDEX(Scoreboard!$B$2:$AE$21,MATCH($A5,Scoreboard!$A$2:$A$21,0),MATCH(AA$3,Scoreboard!$B$1:$AE$1,0))-INDEX(Scoreboard!$B$22:$AE$22,MATCH(AA$3,Scoreboard!$B$1:$AE$1,0)),""))</f>
        <v/>
      </c>
      <c r="AB5" s="11">
        <f>IF(OR($A5="",AB$3=""),"",IFERROR(INDEX(Scoreboard!$B$2:$AE$21,MATCH($A5,Scoreboard!$A$2:$A$21,0),MATCH(AB$3,Scoreboard!$B$1:$AE$1,0))-INDEX(Scoreboard!$B$22:$AE$22,MATCH(AB$3,Scoreboard!$B$1:$AE$1,0)),""))</f>
        <v/>
      </c>
      <c r="AC5" s="11">
        <f>IF(OR($A5="",AC$3=""),"",IFERROR(INDEX(Scoreboard!$B$2:$AE$21,MATCH($A5,Scoreboard!$A$2:$A$21,0),MATCH(AC$3,Scoreboard!$B$1:$AE$1,0))-INDEX(Scoreboard!$B$22:$AE$22,MATCH(AC$3,Scoreboard!$B$1:$AE$1,0)),""))</f>
        <v/>
      </c>
      <c r="AD5" s="11">
        <f>IF(OR($A5="",AD$3=""),"",IFERROR(INDEX(Scoreboard!$B$2:$AE$21,MATCH($A5,Scoreboard!$A$2:$A$21,0),MATCH(AD$3,Scoreboard!$B$1:$AE$1,0))-INDEX(Scoreboard!$B$22:$AE$22,MATCH(AD$3,Scoreboard!$B$1:$AE$1,0)),""))</f>
        <v/>
      </c>
      <c r="AE5" s="11">
        <f>IF(OR($A5="",AE$3=""),"",IFERROR(INDEX(Scoreboard!$B$2:$AE$21,MATCH($A5,Scoreboard!$A$2:$A$21,0),MATCH(AE$3,Scoreboard!$B$1:$AE$1,0))-INDEX(Scoreboard!$B$22:$AE$22,MATCH(AE$3,Scoreboard!$B$1:$AE$1,0)),""))</f>
        <v/>
      </c>
    </row>
    <row r="6">
      <c r="A6" s="5">
        <f>IFERROR(Config!A4,"")</f>
        <v/>
      </c>
      <c r="B6" s="11">
        <f>IF(OR($A6="",B$3=""),"",IFERROR(INDEX(Scoreboard!$B$2:$AE$21,MATCH($A6,Scoreboard!$A$2:$A$21,0),MATCH(B$3,Scoreboard!$B$1:$AE$1,0))-INDEX(Scoreboard!$B$22:$AE$22,MATCH(B$3,Scoreboard!$B$1:$AE$1,0)),""))</f>
        <v/>
      </c>
      <c r="C6" s="11">
        <f>IF(OR($A6="",C$3=""),"",IFERROR(INDEX(Scoreboard!$B$2:$AE$21,MATCH($A6,Scoreboard!$A$2:$A$21,0),MATCH(C$3,Scoreboard!$B$1:$AE$1,0))-INDEX(Scoreboard!$B$22:$AE$22,MATCH(C$3,Scoreboard!$B$1:$AE$1,0)),""))</f>
        <v/>
      </c>
      <c r="D6" s="11">
        <f>IF(OR($A6="",D$3=""),"",IFERROR(INDEX(Scoreboard!$B$2:$AE$21,MATCH($A6,Scoreboard!$A$2:$A$21,0),MATCH(D$3,Scoreboard!$B$1:$AE$1,0))-INDEX(Scoreboard!$B$22:$AE$22,MATCH(D$3,Scoreboard!$B$1:$AE$1,0)),""))</f>
        <v/>
      </c>
      <c r="E6" s="11">
        <f>IF(OR($A6="",E$3=""),"",IFERROR(INDEX(Scoreboard!$B$2:$AE$21,MATCH($A6,Scoreboard!$A$2:$A$21,0),MATCH(E$3,Scoreboard!$B$1:$AE$1,0))-INDEX(Scoreboard!$B$22:$AE$22,MATCH(E$3,Scoreboard!$B$1:$AE$1,0)),""))</f>
        <v/>
      </c>
      <c r="F6" s="11">
        <f>IF(OR($A6="",F$3=""),"",IFERROR(INDEX(Scoreboard!$B$2:$AE$21,MATCH($A6,Scoreboard!$A$2:$A$21,0),MATCH(F$3,Scoreboard!$B$1:$AE$1,0))-INDEX(Scoreboard!$B$22:$AE$22,MATCH(F$3,Scoreboard!$B$1:$AE$1,0)),""))</f>
        <v/>
      </c>
      <c r="G6" s="11">
        <f>IF(OR($A6="",G$3=""),"",IFERROR(INDEX(Scoreboard!$B$2:$AE$21,MATCH($A6,Scoreboard!$A$2:$A$21,0),MATCH(G$3,Scoreboard!$B$1:$AE$1,0))-INDEX(Scoreboard!$B$22:$AE$22,MATCH(G$3,Scoreboard!$B$1:$AE$1,0)),""))</f>
        <v/>
      </c>
      <c r="H6" s="11">
        <f>IF(OR($A6="",H$3=""),"",IFERROR(INDEX(Scoreboard!$B$2:$AE$21,MATCH($A6,Scoreboard!$A$2:$A$21,0),MATCH(H$3,Scoreboard!$B$1:$AE$1,0))-INDEX(Scoreboard!$B$22:$AE$22,MATCH(H$3,Scoreboard!$B$1:$AE$1,0)),""))</f>
        <v/>
      </c>
      <c r="I6" s="11">
        <f>IF(OR($A6="",I$3=""),"",IFERROR(INDEX(Scoreboard!$B$2:$AE$21,MATCH($A6,Scoreboard!$A$2:$A$21,0),MATCH(I$3,Scoreboard!$B$1:$AE$1,0))-INDEX(Scoreboard!$B$22:$AE$22,MATCH(I$3,Scoreboard!$B$1:$AE$1,0)),""))</f>
        <v/>
      </c>
      <c r="J6" s="11">
        <f>IF(OR($A6="",J$3=""),"",IFERROR(INDEX(Scoreboard!$B$2:$AE$21,MATCH($A6,Scoreboard!$A$2:$A$21,0),MATCH(J$3,Scoreboard!$B$1:$AE$1,0))-INDEX(Scoreboard!$B$22:$AE$22,MATCH(J$3,Scoreboard!$B$1:$AE$1,0)),""))</f>
        <v/>
      </c>
      <c r="K6" s="11">
        <f>IF(OR($A6="",K$3=""),"",IFERROR(INDEX(Scoreboard!$B$2:$AE$21,MATCH($A6,Scoreboard!$A$2:$A$21,0),MATCH(K$3,Scoreboard!$B$1:$AE$1,0))-INDEX(Scoreboard!$B$22:$AE$22,MATCH(K$3,Scoreboard!$B$1:$AE$1,0)),""))</f>
        <v/>
      </c>
      <c r="L6" s="11">
        <f>IF(OR($A6="",L$3=""),"",IFERROR(INDEX(Scoreboard!$B$2:$AE$21,MATCH($A6,Scoreboard!$A$2:$A$21,0),MATCH(L$3,Scoreboard!$B$1:$AE$1,0))-INDEX(Scoreboard!$B$22:$AE$22,MATCH(L$3,Scoreboard!$B$1:$AE$1,0)),""))</f>
        <v/>
      </c>
      <c r="M6" s="11">
        <f>IF(OR($A6="",M$3=""),"",IFERROR(INDEX(Scoreboard!$B$2:$AE$21,MATCH($A6,Scoreboard!$A$2:$A$21,0),MATCH(M$3,Scoreboard!$B$1:$AE$1,0))-INDEX(Scoreboard!$B$22:$AE$22,MATCH(M$3,Scoreboard!$B$1:$AE$1,0)),""))</f>
        <v/>
      </c>
      <c r="N6" s="11">
        <f>IF(OR($A6="",N$3=""),"",IFERROR(INDEX(Scoreboard!$B$2:$AE$21,MATCH($A6,Scoreboard!$A$2:$A$21,0),MATCH(N$3,Scoreboard!$B$1:$AE$1,0))-INDEX(Scoreboard!$B$22:$AE$22,MATCH(N$3,Scoreboard!$B$1:$AE$1,0)),""))</f>
        <v/>
      </c>
      <c r="O6" s="11">
        <f>IF(OR($A6="",O$3=""),"",IFERROR(INDEX(Scoreboard!$B$2:$AE$21,MATCH($A6,Scoreboard!$A$2:$A$21,0),MATCH(O$3,Scoreboard!$B$1:$AE$1,0))-INDEX(Scoreboard!$B$22:$AE$22,MATCH(O$3,Scoreboard!$B$1:$AE$1,0)),""))</f>
        <v/>
      </c>
      <c r="P6" s="11">
        <f>IF(OR($A6="",P$3=""),"",IFERROR(INDEX(Scoreboard!$B$2:$AE$21,MATCH($A6,Scoreboard!$A$2:$A$21,0),MATCH(P$3,Scoreboard!$B$1:$AE$1,0))-INDEX(Scoreboard!$B$22:$AE$22,MATCH(P$3,Scoreboard!$B$1:$AE$1,0)),""))</f>
        <v/>
      </c>
      <c r="Q6" s="11">
        <f>IF(OR($A6="",Q$3=""),"",IFERROR(INDEX(Scoreboard!$B$2:$AE$21,MATCH($A6,Scoreboard!$A$2:$A$21,0),MATCH(Q$3,Scoreboard!$B$1:$AE$1,0))-INDEX(Scoreboard!$B$22:$AE$22,MATCH(Q$3,Scoreboard!$B$1:$AE$1,0)),""))</f>
        <v/>
      </c>
      <c r="R6" s="11">
        <f>IF(OR($A6="",R$3=""),"",IFERROR(INDEX(Scoreboard!$B$2:$AE$21,MATCH($A6,Scoreboard!$A$2:$A$21,0),MATCH(R$3,Scoreboard!$B$1:$AE$1,0))-INDEX(Scoreboard!$B$22:$AE$22,MATCH(R$3,Scoreboard!$B$1:$AE$1,0)),""))</f>
        <v/>
      </c>
      <c r="S6" s="11">
        <f>IF(OR($A6="",S$3=""),"",IFERROR(INDEX(Scoreboard!$B$2:$AE$21,MATCH($A6,Scoreboard!$A$2:$A$21,0),MATCH(S$3,Scoreboard!$B$1:$AE$1,0))-INDEX(Scoreboard!$B$22:$AE$22,MATCH(S$3,Scoreboard!$B$1:$AE$1,0)),""))</f>
        <v/>
      </c>
      <c r="T6" s="11">
        <f>IF(OR($A6="",T$3=""),"",IFERROR(INDEX(Scoreboard!$B$2:$AE$21,MATCH($A6,Scoreboard!$A$2:$A$21,0),MATCH(T$3,Scoreboard!$B$1:$AE$1,0))-INDEX(Scoreboard!$B$22:$AE$22,MATCH(T$3,Scoreboard!$B$1:$AE$1,0)),""))</f>
        <v/>
      </c>
      <c r="U6" s="11">
        <f>IF(OR($A6="",U$3=""),"",IFERROR(INDEX(Scoreboard!$B$2:$AE$21,MATCH($A6,Scoreboard!$A$2:$A$21,0),MATCH(U$3,Scoreboard!$B$1:$AE$1,0))-INDEX(Scoreboard!$B$22:$AE$22,MATCH(U$3,Scoreboard!$B$1:$AE$1,0)),""))</f>
        <v/>
      </c>
      <c r="V6" s="11">
        <f>IF(OR($A6="",V$3=""),"",IFERROR(INDEX(Scoreboard!$B$2:$AE$21,MATCH($A6,Scoreboard!$A$2:$A$21,0),MATCH(V$3,Scoreboard!$B$1:$AE$1,0))-INDEX(Scoreboard!$B$22:$AE$22,MATCH(V$3,Scoreboard!$B$1:$AE$1,0)),""))</f>
        <v/>
      </c>
      <c r="W6" s="11">
        <f>IF(OR($A6="",W$3=""),"",IFERROR(INDEX(Scoreboard!$B$2:$AE$21,MATCH($A6,Scoreboard!$A$2:$A$21,0),MATCH(W$3,Scoreboard!$B$1:$AE$1,0))-INDEX(Scoreboard!$B$22:$AE$22,MATCH(W$3,Scoreboard!$B$1:$AE$1,0)),""))</f>
        <v/>
      </c>
      <c r="X6" s="11">
        <f>IF(OR($A6="",X$3=""),"",IFERROR(INDEX(Scoreboard!$B$2:$AE$21,MATCH($A6,Scoreboard!$A$2:$A$21,0),MATCH(X$3,Scoreboard!$B$1:$AE$1,0))-INDEX(Scoreboard!$B$22:$AE$22,MATCH(X$3,Scoreboard!$B$1:$AE$1,0)),""))</f>
        <v/>
      </c>
      <c r="Y6" s="11">
        <f>IF(OR($A6="",Y$3=""),"",IFERROR(INDEX(Scoreboard!$B$2:$AE$21,MATCH($A6,Scoreboard!$A$2:$A$21,0),MATCH(Y$3,Scoreboard!$B$1:$AE$1,0))-INDEX(Scoreboard!$B$22:$AE$22,MATCH(Y$3,Scoreboard!$B$1:$AE$1,0)),""))</f>
        <v/>
      </c>
      <c r="Z6" s="11">
        <f>IF(OR($A6="",Z$3=""),"",IFERROR(INDEX(Scoreboard!$B$2:$AE$21,MATCH($A6,Scoreboard!$A$2:$A$21,0),MATCH(Z$3,Scoreboard!$B$1:$AE$1,0))-INDEX(Scoreboard!$B$22:$AE$22,MATCH(Z$3,Scoreboard!$B$1:$AE$1,0)),""))</f>
        <v/>
      </c>
      <c r="AA6" s="11">
        <f>IF(OR($A6="",AA$3=""),"",IFERROR(INDEX(Scoreboard!$B$2:$AE$21,MATCH($A6,Scoreboard!$A$2:$A$21,0),MATCH(AA$3,Scoreboard!$B$1:$AE$1,0))-INDEX(Scoreboard!$B$22:$AE$22,MATCH(AA$3,Scoreboard!$B$1:$AE$1,0)),""))</f>
        <v/>
      </c>
      <c r="AB6" s="11">
        <f>IF(OR($A6="",AB$3=""),"",IFERROR(INDEX(Scoreboard!$B$2:$AE$21,MATCH($A6,Scoreboard!$A$2:$A$21,0),MATCH(AB$3,Scoreboard!$B$1:$AE$1,0))-INDEX(Scoreboard!$B$22:$AE$22,MATCH(AB$3,Scoreboard!$B$1:$AE$1,0)),""))</f>
        <v/>
      </c>
      <c r="AC6" s="11">
        <f>IF(OR($A6="",AC$3=""),"",IFERROR(INDEX(Scoreboard!$B$2:$AE$21,MATCH($A6,Scoreboard!$A$2:$A$21,0),MATCH(AC$3,Scoreboard!$B$1:$AE$1,0))-INDEX(Scoreboard!$B$22:$AE$22,MATCH(AC$3,Scoreboard!$B$1:$AE$1,0)),""))</f>
        <v/>
      </c>
      <c r="AD6" s="11">
        <f>IF(OR($A6="",AD$3=""),"",IFERROR(INDEX(Scoreboard!$B$2:$AE$21,MATCH($A6,Scoreboard!$A$2:$A$21,0),MATCH(AD$3,Scoreboard!$B$1:$AE$1,0))-INDEX(Scoreboard!$B$22:$AE$22,MATCH(AD$3,Scoreboard!$B$1:$AE$1,0)),""))</f>
        <v/>
      </c>
      <c r="AE6" s="11">
        <f>IF(OR($A6="",AE$3=""),"",IFERROR(INDEX(Scoreboard!$B$2:$AE$21,MATCH($A6,Scoreboard!$A$2:$A$21,0),MATCH(AE$3,Scoreboard!$B$1:$AE$1,0))-INDEX(Scoreboard!$B$22:$AE$22,MATCH(AE$3,Scoreboard!$B$1:$AE$1,0)),""))</f>
        <v/>
      </c>
    </row>
    <row r="7">
      <c r="A7" s="5">
        <f>IFERROR(Config!A5,"")</f>
        <v/>
      </c>
      <c r="B7" s="11">
        <f>IF(OR($A7="",B$3=""),"",IFERROR(INDEX(Scoreboard!$B$2:$AE$21,MATCH($A7,Scoreboard!$A$2:$A$21,0),MATCH(B$3,Scoreboard!$B$1:$AE$1,0))-INDEX(Scoreboard!$B$22:$AE$22,MATCH(B$3,Scoreboard!$B$1:$AE$1,0)),""))</f>
        <v/>
      </c>
      <c r="C7" s="11">
        <f>IF(OR($A7="",C$3=""),"",IFERROR(INDEX(Scoreboard!$B$2:$AE$21,MATCH($A7,Scoreboard!$A$2:$A$21,0),MATCH(C$3,Scoreboard!$B$1:$AE$1,0))-INDEX(Scoreboard!$B$22:$AE$22,MATCH(C$3,Scoreboard!$B$1:$AE$1,0)),""))</f>
        <v/>
      </c>
      <c r="D7" s="11">
        <f>IF(OR($A7="",D$3=""),"",IFERROR(INDEX(Scoreboard!$B$2:$AE$21,MATCH($A7,Scoreboard!$A$2:$A$21,0),MATCH(D$3,Scoreboard!$B$1:$AE$1,0))-INDEX(Scoreboard!$B$22:$AE$22,MATCH(D$3,Scoreboard!$B$1:$AE$1,0)),""))</f>
        <v/>
      </c>
      <c r="E7" s="11">
        <f>IF(OR($A7="",E$3=""),"",IFERROR(INDEX(Scoreboard!$B$2:$AE$21,MATCH($A7,Scoreboard!$A$2:$A$21,0),MATCH(E$3,Scoreboard!$B$1:$AE$1,0))-INDEX(Scoreboard!$B$22:$AE$22,MATCH(E$3,Scoreboard!$B$1:$AE$1,0)),""))</f>
        <v/>
      </c>
      <c r="F7" s="11">
        <f>IF(OR($A7="",F$3=""),"",IFERROR(INDEX(Scoreboard!$B$2:$AE$21,MATCH($A7,Scoreboard!$A$2:$A$21,0),MATCH(F$3,Scoreboard!$B$1:$AE$1,0))-INDEX(Scoreboard!$B$22:$AE$22,MATCH(F$3,Scoreboard!$B$1:$AE$1,0)),""))</f>
        <v/>
      </c>
      <c r="G7" s="11">
        <f>IF(OR($A7="",G$3=""),"",IFERROR(INDEX(Scoreboard!$B$2:$AE$21,MATCH($A7,Scoreboard!$A$2:$A$21,0),MATCH(G$3,Scoreboard!$B$1:$AE$1,0))-INDEX(Scoreboard!$B$22:$AE$22,MATCH(G$3,Scoreboard!$B$1:$AE$1,0)),""))</f>
        <v/>
      </c>
      <c r="H7" s="11">
        <f>IF(OR($A7="",H$3=""),"",IFERROR(INDEX(Scoreboard!$B$2:$AE$21,MATCH($A7,Scoreboard!$A$2:$A$21,0),MATCH(H$3,Scoreboard!$B$1:$AE$1,0))-INDEX(Scoreboard!$B$22:$AE$22,MATCH(H$3,Scoreboard!$B$1:$AE$1,0)),""))</f>
        <v/>
      </c>
      <c r="I7" s="11">
        <f>IF(OR($A7="",I$3=""),"",IFERROR(INDEX(Scoreboard!$B$2:$AE$21,MATCH($A7,Scoreboard!$A$2:$A$21,0),MATCH(I$3,Scoreboard!$B$1:$AE$1,0))-INDEX(Scoreboard!$B$22:$AE$22,MATCH(I$3,Scoreboard!$B$1:$AE$1,0)),""))</f>
        <v/>
      </c>
      <c r="J7" s="11">
        <f>IF(OR($A7="",J$3=""),"",IFERROR(INDEX(Scoreboard!$B$2:$AE$21,MATCH($A7,Scoreboard!$A$2:$A$21,0),MATCH(J$3,Scoreboard!$B$1:$AE$1,0))-INDEX(Scoreboard!$B$22:$AE$22,MATCH(J$3,Scoreboard!$B$1:$AE$1,0)),""))</f>
        <v/>
      </c>
      <c r="K7" s="11">
        <f>IF(OR($A7="",K$3=""),"",IFERROR(INDEX(Scoreboard!$B$2:$AE$21,MATCH($A7,Scoreboard!$A$2:$A$21,0),MATCH(K$3,Scoreboard!$B$1:$AE$1,0))-INDEX(Scoreboard!$B$22:$AE$22,MATCH(K$3,Scoreboard!$B$1:$AE$1,0)),""))</f>
        <v/>
      </c>
      <c r="L7" s="11">
        <f>IF(OR($A7="",L$3=""),"",IFERROR(INDEX(Scoreboard!$B$2:$AE$21,MATCH($A7,Scoreboard!$A$2:$A$21,0),MATCH(L$3,Scoreboard!$B$1:$AE$1,0))-INDEX(Scoreboard!$B$22:$AE$22,MATCH(L$3,Scoreboard!$B$1:$AE$1,0)),""))</f>
        <v/>
      </c>
      <c r="M7" s="11">
        <f>IF(OR($A7="",M$3=""),"",IFERROR(INDEX(Scoreboard!$B$2:$AE$21,MATCH($A7,Scoreboard!$A$2:$A$21,0),MATCH(M$3,Scoreboard!$B$1:$AE$1,0))-INDEX(Scoreboard!$B$22:$AE$22,MATCH(M$3,Scoreboard!$B$1:$AE$1,0)),""))</f>
        <v/>
      </c>
      <c r="N7" s="11">
        <f>IF(OR($A7="",N$3=""),"",IFERROR(INDEX(Scoreboard!$B$2:$AE$21,MATCH($A7,Scoreboard!$A$2:$A$21,0),MATCH(N$3,Scoreboard!$B$1:$AE$1,0))-INDEX(Scoreboard!$B$22:$AE$22,MATCH(N$3,Scoreboard!$B$1:$AE$1,0)),""))</f>
        <v/>
      </c>
      <c r="O7" s="11">
        <f>IF(OR($A7="",O$3=""),"",IFERROR(INDEX(Scoreboard!$B$2:$AE$21,MATCH($A7,Scoreboard!$A$2:$A$21,0),MATCH(O$3,Scoreboard!$B$1:$AE$1,0))-INDEX(Scoreboard!$B$22:$AE$22,MATCH(O$3,Scoreboard!$B$1:$AE$1,0)),""))</f>
        <v/>
      </c>
      <c r="P7" s="11">
        <f>IF(OR($A7="",P$3=""),"",IFERROR(INDEX(Scoreboard!$B$2:$AE$21,MATCH($A7,Scoreboard!$A$2:$A$21,0),MATCH(P$3,Scoreboard!$B$1:$AE$1,0))-INDEX(Scoreboard!$B$22:$AE$22,MATCH(P$3,Scoreboard!$B$1:$AE$1,0)),""))</f>
        <v/>
      </c>
      <c r="Q7" s="11">
        <f>IF(OR($A7="",Q$3=""),"",IFERROR(INDEX(Scoreboard!$B$2:$AE$21,MATCH($A7,Scoreboard!$A$2:$A$21,0),MATCH(Q$3,Scoreboard!$B$1:$AE$1,0))-INDEX(Scoreboard!$B$22:$AE$22,MATCH(Q$3,Scoreboard!$B$1:$AE$1,0)),""))</f>
        <v/>
      </c>
      <c r="R7" s="11">
        <f>IF(OR($A7="",R$3=""),"",IFERROR(INDEX(Scoreboard!$B$2:$AE$21,MATCH($A7,Scoreboard!$A$2:$A$21,0),MATCH(R$3,Scoreboard!$B$1:$AE$1,0))-INDEX(Scoreboard!$B$22:$AE$22,MATCH(R$3,Scoreboard!$B$1:$AE$1,0)),""))</f>
        <v/>
      </c>
      <c r="S7" s="11">
        <f>IF(OR($A7="",S$3=""),"",IFERROR(INDEX(Scoreboard!$B$2:$AE$21,MATCH($A7,Scoreboard!$A$2:$A$21,0),MATCH(S$3,Scoreboard!$B$1:$AE$1,0))-INDEX(Scoreboard!$B$22:$AE$22,MATCH(S$3,Scoreboard!$B$1:$AE$1,0)),""))</f>
        <v/>
      </c>
      <c r="T7" s="11">
        <f>IF(OR($A7="",T$3=""),"",IFERROR(INDEX(Scoreboard!$B$2:$AE$21,MATCH($A7,Scoreboard!$A$2:$A$21,0),MATCH(T$3,Scoreboard!$B$1:$AE$1,0))-INDEX(Scoreboard!$B$22:$AE$22,MATCH(T$3,Scoreboard!$B$1:$AE$1,0)),""))</f>
        <v/>
      </c>
      <c r="U7" s="11">
        <f>IF(OR($A7="",U$3=""),"",IFERROR(INDEX(Scoreboard!$B$2:$AE$21,MATCH($A7,Scoreboard!$A$2:$A$21,0),MATCH(U$3,Scoreboard!$B$1:$AE$1,0))-INDEX(Scoreboard!$B$22:$AE$22,MATCH(U$3,Scoreboard!$B$1:$AE$1,0)),""))</f>
        <v/>
      </c>
      <c r="V7" s="11">
        <f>IF(OR($A7="",V$3=""),"",IFERROR(INDEX(Scoreboard!$B$2:$AE$21,MATCH($A7,Scoreboard!$A$2:$A$21,0),MATCH(V$3,Scoreboard!$B$1:$AE$1,0))-INDEX(Scoreboard!$B$22:$AE$22,MATCH(V$3,Scoreboard!$B$1:$AE$1,0)),""))</f>
        <v/>
      </c>
      <c r="W7" s="11">
        <f>IF(OR($A7="",W$3=""),"",IFERROR(INDEX(Scoreboard!$B$2:$AE$21,MATCH($A7,Scoreboard!$A$2:$A$21,0),MATCH(W$3,Scoreboard!$B$1:$AE$1,0))-INDEX(Scoreboard!$B$22:$AE$22,MATCH(W$3,Scoreboard!$B$1:$AE$1,0)),""))</f>
        <v/>
      </c>
      <c r="X7" s="11">
        <f>IF(OR($A7="",X$3=""),"",IFERROR(INDEX(Scoreboard!$B$2:$AE$21,MATCH($A7,Scoreboard!$A$2:$A$21,0),MATCH(X$3,Scoreboard!$B$1:$AE$1,0))-INDEX(Scoreboard!$B$22:$AE$22,MATCH(X$3,Scoreboard!$B$1:$AE$1,0)),""))</f>
        <v/>
      </c>
      <c r="Y7" s="11">
        <f>IF(OR($A7="",Y$3=""),"",IFERROR(INDEX(Scoreboard!$B$2:$AE$21,MATCH($A7,Scoreboard!$A$2:$A$21,0),MATCH(Y$3,Scoreboard!$B$1:$AE$1,0))-INDEX(Scoreboard!$B$22:$AE$22,MATCH(Y$3,Scoreboard!$B$1:$AE$1,0)),""))</f>
        <v/>
      </c>
      <c r="Z7" s="11">
        <f>IF(OR($A7="",Z$3=""),"",IFERROR(INDEX(Scoreboard!$B$2:$AE$21,MATCH($A7,Scoreboard!$A$2:$A$21,0),MATCH(Z$3,Scoreboard!$B$1:$AE$1,0))-INDEX(Scoreboard!$B$22:$AE$22,MATCH(Z$3,Scoreboard!$B$1:$AE$1,0)),""))</f>
        <v/>
      </c>
      <c r="AA7" s="11">
        <f>IF(OR($A7="",AA$3=""),"",IFERROR(INDEX(Scoreboard!$B$2:$AE$21,MATCH($A7,Scoreboard!$A$2:$A$21,0),MATCH(AA$3,Scoreboard!$B$1:$AE$1,0))-INDEX(Scoreboard!$B$22:$AE$22,MATCH(AA$3,Scoreboard!$B$1:$AE$1,0)),""))</f>
        <v/>
      </c>
      <c r="AB7" s="11">
        <f>IF(OR($A7="",AB$3=""),"",IFERROR(INDEX(Scoreboard!$B$2:$AE$21,MATCH($A7,Scoreboard!$A$2:$A$21,0),MATCH(AB$3,Scoreboard!$B$1:$AE$1,0))-INDEX(Scoreboard!$B$22:$AE$22,MATCH(AB$3,Scoreboard!$B$1:$AE$1,0)),""))</f>
        <v/>
      </c>
      <c r="AC7" s="11">
        <f>IF(OR($A7="",AC$3=""),"",IFERROR(INDEX(Scoreboard!$B$2:$AE$21,MATCH($A7,Scoreboard!$A$2:$A$21,0),MATCH(AC$3,Scoreboard!$B$1:$AE$1,0))-INDEX(Scoreboard!$B$22:$AE$22,MATCH(AC$3,Scoreboard!$B$1:$AE$1,0)),""))</f>
        <v/>
      </c>
      <c r="AD7" s="11">
        <f>IF(OR($A7="",AD$3=""),"",IFERROR(INDEX(Scoreboard!$B$2:$AE$21,MATCH($A7,Scoreboard!$A$2:$A$21,0),MATCH(AD$3,Scoreboard!$B$1:$AE$1,0))-INDEX(Scoreboard!$B$22:$AE$22,MATCH(AD$3,Scoreboard!$B$1:$AE$1,0)),""))</f>
        <v/>
      </c>
      <c r="AE7" s="11">
        <f>IF(OR($A7="",AE$3=""),"",IFERROR(INDEX(Scoreboard!$B$2:$AE$21,MATCH($A7,Scoreboard!$A$2:$A$21,0),MATCH(AE$3,Scoreboard!$B$1:$AE$1,0))-INDEX(Scoreboard!$B$22:$AE$22,MATCH(AE$3,Scoreboard!$B$1:$AE$1,0)),""))</f>
        <v/>
      </c>
    </row>
    <row r="8">
      <c r="A8" s="5">
        <f>IFERROR(Config!A6,"")</f>
        <v/>
      </c>
      <c r="B8" s="11">
        <f>IF(OR($A8="",B$3=""),"",IFERROR(INDEX(Scoreboard!$B$2:$AE$21,MATCH($A8,Scoreboard!$A$2:$A$21,0),MATCH(B$3,Scoreboard!$B$1:$AE$1,0))-INDEX(Scoreboard!$B$22:$AE$22,MATCH(B$3,Scoreboard!$B$1:$AE$1,0)),""))</f>
        <v/>
      </c>
      <c r="C8" s="11">
        <f>IF(OR($A8="",C$3=""),"",IFERROR(INDEX(Scoreboard!$B$2:$AE$21,MATCH($A8,Scoreboard!$A$2:$A$21,0),MATCH(C$3,Scoreboard!$B$1:$AE$1,0))-INDEX(Scoreboard!$B$22:$AE$22,MATCH(C$3,Scoreboard!$B$1:$AE$1,0)),""))</f>
        <v/>
      </c>
      <c r="D8" s="11">
        <f>IF(OR($A8="",D$3=""),"",IFERROR(INDEX(Scoreboard!$B$2:$AE$21,MATCH($A8,Scoreboard!$A$2:$A$21,0),MATCH(D$3,Scoreboard!$B$1:$AE$1,0))-INDEX(Scoreboard!$B$22:$AE$22,MATCH(D$3,Scoreboard!$B$1:$AE$1,0)),""))</f>
        <v/>
      </c>
      <c r="E8" s="11">
        <f>IF(OR($A8="",E$3=""),"",IFERROR(INDEX(Scoreboard!$B$2:$AE$21,MATCH($A8,Scoreboard!$A$2:$A$21,0),MATCH(E$3,Scoreboard!$B$1:$AE$1,0))-INDEX(Scoreboard!$B$22:$AE$22,MATCH(E$3,Scoreboard!$B$1:$AE$1,0)),""))</f>
        <v/>
      </c>
      <c r="F8" s="11">
        <f>IF(OR($A8="",F$3=""),"",IFERROR(INDEX(Scoreboard!$B$2:$AE$21,MATCH($A8,Scoreboard!$A$2:$A$21,0),MATCH(F$3,Scoreboard!$B$1:$AE$1,0))-INDEX(Scoreboard!$B$22:$AE$22,MATCH(F$3,Scoreboard!$B$1:$AE$1,0)),""))</f>
        <v/>
      </c>
      <c r="G8" s="11">
        <f>IF(OR($A8="",G$3=""),"",IFERROR(INDEX(Scoreboard!$B$2:$AE$21,MATCH($A8,Scoreboard!$A$2:$A$21,0),MATCH(G$3,Scoreboard!$B$1:$AE$1,0))-INDEX(Scoreboard!$B$22:$AE$22,MATCH(G$3,Scoreboard!$B$1:$AE$1,0)),""))</f>
        <v/>
      </c>
      <c r="H8" s="11">
        <f>IF(OR($A8="",H$3=""),"",IFERROR(INDEX(Scoreboard!$B$2:$AE$21,MATCH($A8,Scoreboard!$A$2:$A$21,0),MATCH(H$3,Scoreboard!$B$1:$AE$1,0))-INDEX(Scoreboard!$B$22:$AE$22,MATCH(H$3,Scoreboard!$B$1:$AE$1,0)),""))</f>
        <v/>
      </c>
      <c r="I8" s="11">
        <f>IF(OR($A8="",I$3=""),"",IFERROR(INDEX(Scoreboard!$B$2:$AE$21,MATCH($A8,Scoreboard!$A$2:$A$21,0),MATCH(I$3,Scoreboard!$B$1:$AE$1,0))-INDEX(Scoreboard!$B$22:$AE$22,MATCH(I$3,Scoreboard!$B$1:$AE$1,0)),""))</f>
        <v/>
      </c>
      <c r="J8" s="11">
        <f>IF(OR($A8="",J$3=""),"",IFERROR(INDEX(Scoreboard!$B$2:$AE$21,MATCH($A8,Scoreboard!$A$2:$A$21,0),MATCH(J$3,Scoreboard!$B$1:$AE$1,0))-INDEX(Scoreboard!$B$22:$AE$22,MATCH(J$3,Scoreboard!$B$1:$AE$1,0)),""))</f>
        <v/>
      </c>
      <c r="K8" s="11">
        <f>IF(OR($A8="",K$3=""),"",IFERROR(INDEX(Scoreboard!$B$2:$AE$21,MATCH($A8,Scoreboard!$A$2:$A$21,0),MATCH(K$3,Scoreboard!$B$1:$AE$1,0))-INDEX(Scoreboard!$B$22:$AE$22,MATCH(K$3,Scoreboard!$B$1:$AE$1,0)),""))</f>
        <v/>
      </c>
      <c r="L8" s="11">
        <f>IF(OR($A8="",L$3=""),"",IFERROR(INDEX(Scoreboard!$B$2:$AE$21,MATCH($A8,Scoreboard!$A$2:$A$21,0),MATCH(L$3,Scoreboard!$B$1:$AE$1,0))-INDEX(Scoreboard!$B$22:$AE$22,MATCH(L$3,Scoreboard!$B$1:$AE$1,0)),""))</f>
        <v/>
      </c>
      <c r="M8" s="11">
        <f>IF(OR($A8="",M$3=""),"",IFERROR(INDEX(Scoreboard!$B$2:$AE$21,MATCH($A8,Scoreboard!$A$2:$A$21,0),MATCH(M$3,Scoreboard!$B$1:$AE$1,0))-INDEX(Scoreboard!$B$22:$AE$22,MATCH(M$3,Scoreboard!$B$1:$AE$1,0)),""))</f>
        <v/>
      </c>
      <c r="N8" s="11">
        <f>IF(OR($A8="",N$3=""),"",IFERROR(INDEX(Scoreboard!$B$2:$AE$21,MATCH($A8,Scoreboard!$A$2:$A$21,0),MATCH(N$3,Scoreboard!$B$1:$AE$1,0))-INDEX(Scoreboard!$B$22:$AE$22,MATCH(N$3,Scoreboard!$B$1:$AE$1,0)),""))</f>
        <v/>
      </c>
      <c r="O8" s="11">
        <f>IF(OR($A8="",O$3=""),"",IFERROR(INDEX(Scoreboard!$B$2:$AE$21,MATCH($A8,Scoreboard!$A$2:$A$21,0),MATCH(O$3,Scoreboard!$B$1:$AE$1,0))-INDEX(Scoreboard!$B$22:$AE$22,MATCH(O$3,Scoreboard!$B$1:$AE$1,0)),""))</f>
        <v/>
      </c>
      <c r="P8" s="11">
        <f>IF(OR($A8="",P$3=""),"",IFERROR(INDEX(Scoreboard!$B$2:$AE$21,MATCH($A8,Scoreboard!$A$2:$A$21,0),MATCH(P$3,Scoreboard!$B$1:$AE$1,0))-INDEX(Scoreboard!$B$22:$AE$22,MATCH(P$3,Scoreboard!$B$1:$AE$1,0)),""))</f>
        <v/>
      </c>
      <c r="Q8" s="11">
        <f>IF(OR($A8="",Q$3=""),"",IFERROR(INDEX(Scoreboard!$B$2:$AE$21,MATCH($A8,Scoreboard!$A$2:$A$21,0),MATCH(Q$3,Scoreboard!$B$1:$AE$1,0))-INDEX(Scoreboard!$B$22:$AE$22,MATCH(Q$3,Scoreboard!$B$1:$AE$1,0)),""))</f>
        <v/>
      </c>
      <c r="R8" s="11">
        <f>IF(OR($A8="",R$3=""),"",IFERROR(INDEX(Scoreboard!$B$2:$AE$21,MATCH($A8,Scoreboard!$A$2:$A$21,0),MATCH(R$3,Scoreboard!$B$1:$AE$1,0))-INDEX(Scoreboard!$B$22:$AE$22,MATCH(R$3,Scoreboard!$B$1:$AE$1,0)),""))</f>
        <v/>
      </c>
      <c r="S8" s="11">
        <f>IF(OR($A8="",S$3=""),"",IFERROR(INDEX(Scoreboard!$B$2:$AE$21,MATCH($A8,Scoreboard!$A$2:$A$21,0),MATCH(S$3,Scoreboard!$B$1:$AE$1,0))-INDEX(Scoreboard!$B$22:$AE$22,MATCH(S$3,Scoreboard!$B$1:$AE$1,0)),""))</f>
        <v/>
      </c>
      <c r="T8" s="11">
        <f>IF(OR($A8="",T$3=""),"",IFERROR(INDEX(Scoreboard!$B$2:$AE$21,MATCH($A8,Scoreboard!$A$2:$A$21,0),MATCH(T$3,Scoreboard!$B$1:$AE$1,0))-INDEX(Scoreboard!$B$22:$AE$22,MATCH(T$3,Scoreboard!$B$1:$AE$1,0)),""))</f>
        <v/>
      </c>
      <c r="U8" s="11">
        <f>IF(OR($A8="",U$3=""),"",IFERROR(INDEX(Scoreboard!$B$2:$AE$21,MATCH($A8,Scoreboard!$A$2:$A$21,0),MATCH(U$3,Scoreboard!$B$1:$AE$1,0))-INDEX(Scoreboard!$B$22:$AE$22,MATCH(U$3,Scoreboard!$B$1:$AE$1,0)),""))</f>
        <v/>
      </c>
      <c r="V8" s="11">
        <f>IF(OR($A8="",V$3=""),"",IFERROR(INDEX(Scoreboard!$B$2:$AE$21,MATCH($A8,Scoreboard!$A$2:$A$21,0),MATCH(V$3,Scoreboard!$B$1:$AE$1,0))-INDEX(Scoreboard!$B$22:$AE$22,MATCH(V$3,Scoreboard!$B$1:$AE$1,0)),""))</f>
        <v/>
      </c>
      <c r="W8" s="11">
        <f>IF(OR($A8="",W$3=""),"",IFERROR(INDEX(Scoreboard!$B$2:$AE$21,MATCH($A8,Scoreboard!$A$2:$A$21,0),MATCH(W$3,Scoreboard!$B$1:$AE$1,0))-INDEX(Scoreboard!$B$22:$AE$22,MATCH(W$3,Scoreboard!$B$1:$AE$1,0)),""))</f>
        <v/>
      </c>
      <c r="X8" s="11">
        <f>IF(OR($A8="",X$3=""),"",IFERROR(INDEX(Scoreboard!$B$2:$AE$21,MATCH($A8,Scoreboard!$A$2:$A$21,0),MATCH(X$3,Scoreboard!$B$1:$AE$1,0))-INDEX(Scoreboard!$B$22:$AE$22,MATCH(X$3,Scoreboard!$B$1:$AE$1,0)),""))</f>
        <v/>
      </c>
      <c r="Y8" s="11">
        <f>IF(OR($A8="",Y$3=""),"",IFERROR(INDEX(Scoreboard!$B$2:$AE$21,MATCH($A8,Scoreboard!$A$2:$A$21,0),MATCH(Y$3,Scoreboard!$B$1:$AE$1,0))-INDEX(Scoreboard!$B$22:$AE$22,MATCH(Y$3,Scoreboard!$B$1:$AE$1,0)),""))</f>
        <v/>
      </c>
      <c r="Z8" s="11">
        <f>IF(OR($A8="",Z$3=""),"",IFERROR(INDEX(Scoreboard!$B$2:$AE$21,MATCH($A8,Scoreboard!$A$2:$A$21,0),MATCH(Z$3,Scoreboard!$B$1:$AE$1,0))-INDEX(Scoreboard!$B$22:$AE$22,MATCH(Z$3,Scoreboard!$B$1:$AE$1,0)),""))</f>
        <v/>
      </c>
      <c r="AA8" s="11">
        <f>IF(OR($A8="",AA$3=""),"",IFERROR(INDEX(Scoreboard!$B$2:$AE$21,MATCH($A8,Scoreboard!$A$2:$A$21,0),MATCH(AA$3,Scoreboard!$B$1:$AE$1,0))-INDEX(Scoreboard!$B$22:$AE$22,MATCH(AA$3,Scoreboard!$B$1:$AE$1,0)),""))</f>
        <v/>
      </c>
      <c r="AB8" s="11">
        <f>IF(OR($A8="",AB$3=""),"",IFERROR(INDEX(Scoreboard!$B$2:$AE$21,MATCH($A8,Scoreboard!$A$2:$A$21,0),MATCH(AB$3,Scoreboard!$B$1:$AE$1,0))-INDEX(Scoreboard!$B$22:$AE$22,MATCH(AB$3,Scoreboard!$B$1:$AE$1,0)),""))</f>
        <v/>
      </c>
      <c r="AC8" s="11">
        <f>IF(OR($A8="",AC$3=""),"",IFERROR(INDEX(Scoreboard!$B$2:$AE$21,MATCH($A8,Scoreboard!$A$2:$A$21,0),MATCH(AC$3,Scoreboard!$B$1:$AE$1,0))-INDEX(Scoreboard!$B$22:$AE$22,MATCH(AC$3,Scoreboard!$B$1:$AE$1,0)),""))</f>
        <v/>
      </c>
      <c r="AD8" s="11">
        <f>IF(OR($A8="",AD$3=""),"",IFERROR(INDEX(Scoreboard!$B$2:$AE$21,MATCH($A8,Scoreboard!$A$2:$A$21,0),MATCH(AD$3,Scoreboard!$B$1:$AE$1,0))-INDEX(Scoreboard!$B$22:$AE$22,MATCH(AD$3,Scoreboard!$B$1:$AE$1,0)),""))</f>
        <v/>
      </c>
      <c r="AE8" s="11">
        <f>IF(OR($A8="",AE$3=""),"",IFERROR(INDEX(Scoreboard!$B$2:$AE$21,MATCH($A8,Scoreboard!$A$2:$A$21,0),MATCH(AE$3,Scoreboard!$B$1:$AE$1,0))-INDEX(Scoreboard!$B$22:$AE$22,MATCH(AE$3,Scoreboard!$B$1:$AE$1,0)),""))</f>
        <v/>
      </c>
    </row>
    <row r="9">
      <c r="A9" s="5">
        <f>IFERROR(Config!A7,"")</f>
        <v/>
      </c>
      <c r="B9" s="11">
        <f>IF(OR($A9="",B$3=""),"",IFERROR(INDEX(Scoreboard!$B$2:$AE$21,MATCH($A9,Scoreboard!$A$2:$A$21,0),MATCH(B$3,Scoreboard!$B$1:$AE$1,0))-INDEX(Scoreboard!$B$22:$AE$22,MATCH(B$3,Scoreboard!$B$1:$AE$1,0)),""))</f>
        <v/>
      </c>
      <c r="C9" s="11">
        <f>IF(OR($A9="",C$3=""),"",IFERROR(INDEX(Scoreboard!$B$2:$AE$21,MATCH($A9,Scoreboard!$A$2:$A$21,0),MATCH(C$3,Scoreboard!$B$1:$AE$1,0))-INDEX(Scoreboard!$B$22:$AE$22,MATCH(C$3,Scoreboard!$B$1:$AE$1,0)),""))</f>
        <v/>
      </c>
      <c r="D9" s="11">
        <f>IF(OR($A9="",D$3=""),"",IFERROR(INDEX(Scoreboard!$B$2:$AE$21,MATCH($A9,Scoreboard!$A$2:$A$21,0),MATCH(D$3,Scoreboard!$B$1:$AE$1,0))-INDEX(Scoreboard!$B$22:$AE$22,MATCH(D$3,Scoreboard!$B$1:$AE$1,0)),""))</f>
        <v/>
      </c>
      <c r="E9" s="11">
        <f>IF(OR($A9="",E$3=""),"",IFERROR(INDEX(Scoreboard!$B$2:$AE$21,MATCH($A9,Scoreboard!$A$2:$A$21,0),MATCH(E$3,Scoreboard!$B$1:$AE$1,0))-INDEX(Scoreboard!$B$22:$AE$22,MATCH(E$3,Scoreboard!$B$1:$AE$1,0)),""))</f>
        <v/>
      </c>
      <c r="F9" s="11">
        <f>IF(OR($A9="",F$3=""),"",IFERROR(INDEX(Scoreboard!$B$2:$AE$21,MATCH($A9,Scoreboard!$A$2:$A$21,0),MATCH(F$3,Scoreboard!$B$1:$AE$1,0))-INDEX(Scoreboard!$B$22:$AE$22,MATCH(F$3,Scoreboard!$B$1:$AE$1,0)),""))</f>
        <v/>
      </c>
      <c r="G9" s="11">
        <f>IF(OR($A9="",G$3=""),"",IFERROR(INDEX(Scoreboard!$B$2:$AE$21,MATCH($A9,Scoreboard!$A$2:$A$21,0),MATCH(G$3,Scoreboard!$B$1:$AE$1,0))-INDEX(Scoreboard!$B$22:$AE$22,MATCH(G$3,Scoreboard!$B$1:$AE$1,0)),""))</f>
        <v/>
      </c>
      <c r="H9" s="11">
        <f>IF(OR($A9="",H$3=""),"",IFERROR(INDEX(Scoreboard!$B$2:$AE$21,MATCH($A9,Scoreboard!$A$2:$A$21,0),MATCH(H$3,Scoreboard!$B$1:$AE$1,0))-INDEX(Scoreboard!$B$22:$AE$22,MATCH(H$3,Scoreboard!$B$1:$AE$1,0)),""))</f>
        <v/>
      </c>
      <c r="I9" s="11">
        <f>IF(OR($A9="",I$3=""),"",IFERROR(INDEX(Scoreboard!$B$2:$AE$21,MATCH($A9,Scoreboard!$A$2:$A$21,0),MATCH(I$3,Scoreboard!$B$1:$AE$1,0))-INDEX(Scoreboard!$B$22:$AE$22,MATCH(I$3,Scoreboard!$B$1:$AE$1,0)),""))</f>
        <v/>
      </c>
      <c r="J9" s="11">
        <f>IF(OR($A9="",J$3=""),"",IFERROR(INDEX(Scoreboard!$B$2:$AE$21,MATCH($A9,Scoreboard!$A$2:$A$21,0),MATCH(J$3,Scoreboard!$B$1:$AE$1,0))-INDEX(Scoreboard!$B$22:$AE$22,MATCH(J$3,Scoreboard!$B$1:$AE$1,0)),""))</f>
        <v/>
      </c>
      <c r="K9" s="11">
        <f>IF(OR($A9="",K$3=""),"",IFERROR(INDEX(Scoreboard!$B$2:$AE$21,MATCH($A9,Scoreboard!$A$2:$A$21,0),MATCH(K$3,Scoreboard!$B$1:$AE$1,0))-INDEX(Scoreboard!$B$22:$AE$22,MATCH(K$3,Scoreboard!$B$1:$AE$1,0)),""))</f>
        <v/>
      </c>
      <c r="L9" s="11">
        <f>IF(OR($A9="",L$3=""),"",IFERROR(INDEX(Scoreboard!$B$2:$AE$21,MATCH($A9,Scoreboard!$A$2:$A$21,0),MATCH(L$3,Scoreboard!$B$1:$AE$1,0))-INDEX(Scoreboard!$B$22:$AE$22,MATCH(L$3,Scoreboard!$B$1:$AE$1,0)),""))</f>
        <v/>
      </c>
      <c r="M9" s="11">
        <f>IF(OR($A9="",M$3=""),"",IFERROR(INDEX(Scoreboard!$B$2:$AE$21,MATCH($A9,Scoreboard!$A$2:$A$21,0),MATCH(M$3,Scoreboard!$B$1:$AE$1,0))-INDEX(Scoreboard!$B$22:$AE$22,MATCH(M$3,Scoreboard!$B$1:$AE$1,0)),""))</f>
        <v/>
      </c>
      <c r="N9" s="11">
        <f>IF(OR($A9="",N$3=""),"",IFERROR(INDEX(Scoreboard!$B$2:$AE$21,MATCH($A9,Scoreboard!$A$2:$A$21,0),MATCH(N$3,Scoreboard!$B$1:$AE$1,0))-INDEX(Scoreboard!$B$22:$AE$22,MATCH(N$3,Scoreboard!$B$1:$AE$1,0)),""))</f>
        <v/>
      </c>
      <c r="O9" s="11">
        <f>IF(OR($A9="",O$3=""),"",IFERROR(INDEX(Scoreboard!$B$2:$AE$21,MATCH($A9,Scoreboard!$A$2:$A$21,0),MATCH(O$3,Scoreboard!$B$1:$AE$1,0))-INDEX(Scoreboard!$B$22:$AE$22,MATCH(O$3,Scoreboard!$B$1:$AE$1,0)),""))</f>
        <v/>
      </c>
      <c r="P9" s="11">
        <f>IF(OR($A9="",P$3=""),"",IFERROR(INDEX(Scoreboard!$B$2:$AE$21,MATCH($A9,Scoreboard!$A$2:$A$21,0),MATCH(P$3,Scoreboard!$B$1:$AE$1,0))-INDEX(Scoreboard!$B$22:$AE$22,MATCH(P$3,Scoreboard!$B$1:$AE$1,0)),""))</f>
        <v/>
      </c>
      <c r="Q9" s="11">
        <f>IF(OR($A9="",Q$3=""),"",IFERROR(INDEX(Scoreboard!$B$2:$AE$21,MATCH($A9,Scoreboard!$A$2:$A$21,0),MATCH(Q$3,Scoreboard!$B$1:$AE$1,0))-INDEX(Scoreboard!$B$22:$AE$22,MATCH(Q$3,Scoreboard!$B$1:$AE$1,0)),""))</f>
        <v/>
      </c>
      <c r="R9" s="11">
        <f>IF(OR($A9="",R$3=""),"",IFERROR(INDEX(Scoreboard!$B$2:$AE$21,MATCH($A9,Scoreboard!$A$2:$A$21,0),MATCH(R$3,Scoreboard!$B$1:$AE$1,0))-INDEX(Scoreboard!$B$22:$AE$22,MATCH(R$3,Scoreboard!$B$1:$AE$1,0)),""))</f>
        <v/>
      </c>
      <c r="S9" s="11">
        <f>IF(OR($A9="",S$3=""),"",IFERROR(INDEX(Scoreboard!$B$2:$AE$21,MATCH($A9,Scoreboard!$A$2:$A$21,0),MATCH(S$3,Scoreboard!$B$1:$AE$1,0))-INDEX(Scoreboard!$B$22:$AE$22,MATCH(S$3,Scoreboard!$B$1:$AE$1,0)),""))</f>
        <v/>
      </c>
      <c r="T9" s="11">
        <f>IF(OR($A9="",T$3=""),"",IFERROR(INDEX(Scoreboard!$B$2:$AE$21,MATCH($A9,Scoreboard!$A$2:$A$21,0),MATCH(T$3,Scoreboard!$B$1:$AE$1,0))-INDEX(Scoreboard!$B$22:$AE$22,MATCH(T$3,Scoreboard!$B$1:$AE$1,0)),""))</f>
        <v/>
      </c>
      <c r="U9" s="11">
        <f>IF(OR($A9="",U$3=""),"",IFERROR(INDEX(Scoreboard!$B$2:$AE$21,MATCH($A9,Scoreboard!$A$2:$A$21,0),MATCH(U$3,Scoreboard!$B$1:$AE$1,0))-INDEX(Scoreboard!$B$22:$AE$22,MATCH(U$3,Scoreboard!$B$1:$AE$1,0)),""))</f>
        <v/>
      </c>
      <c r="V9" s="11">
        <f>IF(OR($A9="",V$3=""),"",IFERROR(INDEX(Scoreboard!$B$2:$AE$21,MATCH($A9,Scoreboard!$A$2:$A$21,0),MATCH(V$3,Scoreboard!$B$1:$AE$1,0))-INDEX(Scoreboard!$B$22:$AE$22,MATCH(V$3,Scoreboard!$B$1:$AE$1,0)),""))</f>
        <v/>
      </c>
      <c r="W9" s="11">
        <f>IF(OR($A9="",W$3=""),"",IFERROR(INDEX(Scoreboard!$B$2:$AE$21,MATCH($A9,Scoreboard!$A$2:$A$21,0),MATCH(W$3,Scoreboard!$B$1:$AE$1,0))-INDEX(Scoreboard!$B$22:$AE$22,MATCH(W$3,Scoreboard!$B$1:$AE$1,0)),""))</f>
        <v/>
      </c>
      <c r="X9" s="11">
        <f>IF(OR($A9="",X$3=""),"",IFERROR(INDEX(Scoreboard!$B$2:$AE$21,MATCH($A9,Scoreboard!$A$2:$A$21,0),MATCH(X$3,Scoreboard!$B$1:$AE$1,0))-INDEX(Scoreboard!$B$22:$AE$22,MATCH(X$3,Scoreboard!$B$1:$AE$1,0)),""))</f>
        <v/>
      </c>
      <c r="Y9" s="11">
        <f>IF(OR($A9="",Y$3=""),"",IFERROR(INDEX(Scoreboard!$B$2:$AE$21,MATCH($A9,Scoreboard!$A$2:$A$21,0),MATCH(Y$3,Scoreboard!$B$1:$AE$1,0))-INDEX(Scoreboard!$B$22:$AE$22,MATCH(Y$3,Scoreboard!$B$1:$AE$1,0)),""))</f>
        <v/>
      </c>
      <c r="Z9" s="11">
        <f>IF(OR($A9="",Z$3=""),"",IFERROR(INDEX(Scoreboard!$B$2:$AE$21,MATCH($A9,Scoreboard!$A$2:$A$21,0),MATCH(Z$3,Scoreboard!$B$1:$AE$1,0))-INDEX(Scoreboard!$B$22:$AE$22,MATCH(Z$3,Scoreboard!$B$1:$AE$1,0)),""))</f>
        <v/>
      </c>
      <c r="AA9" s="11">
        <f>IF(OR($A9="",AA$3=""),"",IFERROR(INDEX(Scoreboard!$B$2:$AE$21,MATCH($A9,Scoreboard!$A$2:$A$21,0),MATCH(AA$3,Scoreboard!$B$1:$AE$1,0))-INDEX(Scoreboard!$B$22:$AE$22,MATCH(AA$3,Scoreboard!$B$1:$AE$1,0)),""))</f>
        <v/>
      </c>
      <c r="AB9" s="11">
        <f>IF(OR($A9="",AB$3=""),"",IFERROR(INDEX(Scoreboard!$B$2:$AE$21,MATCH($A9,Scoreboard!$A$2:$A$21,0),MATCH(AB$3,Scoreboard!$B$1:$AE$1,0))-INDEX(Scoreboard!$B$22:$AE$22,MATCH(AB$3,Scoreboard!$B$1:$AE$1,0)),""))</f>
        <v/>
      </c>
      <c r="AC9" s="11">
        <f>IF(OR($A9="",AC$3=""),"",IFERROR(INDEX(Scoreboard!$B$2:$AE$21,MATCH($A9,Scoreboard!$A$2:$A$21,0),MATCH(AC$3,Scoreboard!$B$1:$AE$1,0))-INDEX(Scoreboard!$B$22:$AE$22,MATCH(AC$3,Scoreboard!$B$1:$AE$1,0)),""))</f>
        <v/>
      </c>
      <c r="AD9" s="11">
        <f>IF(OR($A9="",AD$3=""),"",IFERROR(INDEX(Scoreboard!$B$2:$AE$21,MATCH($A9,Scoreboard!$A$2:$A$21,0),MATCH(AD$3,Scoreboard!$B$1:$AE$1,0))-INDEX(Scoreboard!$B$22:$AE$22,MATCH(AD$3,Scoreboard!$B$1:$AE$1,0)),""))</f>
        <v/>
      </c>
      <c r="AE9" s="11">
        <f>IF(OR($A9="",AE$3=""),"",IFERROR(INDEX(Scoreboard!$B$2:$AE$21,MATCH($A9,Scoreboard!$A$2:$A$21,0),MATCH(AE$3,Scoreboard!$B$1:$AE$1,0))-INDEX(Scoreboard!$B$22:$AE$22,MATCH(AE$3,Scoreboard!$B$1:$AE$1,0)),""))</f>
        <v/>
      </c>
    </row>
    <row r="10">
      <c r="A10" s="5">
        <f>IFERROR(Config!A8,"")</f>
        <v/>
      </c>
      <c r="B10" s="11">
        <f>IF(OR($A10="",B$3=""),"",IFERROR(INDEX(Scoreboard!$B$2:$AE$21,MATCH($A10,Scoreboard!$A$2:$A$21,0),MATCH(B$3,Scoreboard!$B$1:$AE$1,0))-INDEX(Scoreboard!$B$22:$AE$22,MATCH(B$3,Scoreboard!$B$1:$AE$1,0)),""))</f>
        <v/>
      </c>
      <c r="C10" s="11">
        <f>IF(OR($A10="",C$3=""),"",IFERROR(INDEX(Scoreboard!$B$2:$AE$21,MATCH($A10,Scoreboard!$A$2:$A$21,0),MATCH(C$3,Scoreboard!$B$1:$AE$1,0))-INDEX(Scoreboard!$B$22:$AE$22,MATCH(C$3,Scoreboard!$B$1:$AE$1,0)),""))</f>
        <v/>
      </c>
      <c r="D10" s="11">
        <f>IF(OR($A10="",D$3=""),"",IFERROR(INDEX(Scoreboard!$B$2:$AE$21,MATCH($A10,Scoreboard!$A$2:$A$21,0),MATCH(D$3,Scoreboard!$B$1:$AE$1,0))-INDEX(Scoreboard!$B$22:$AE$22,MATCH(D$3,Scoreboard!$B$1:$AE$1,0)),""))</f>
        <v/>
      </c>
      <c r="E10" s="11">
        <f>IF(OR($A10="",E$3=""),"",IFERROR(INDEX(Scoreboard!$B$2:$AE$21,MATCH($A10,Scoreboard!$A$2:$A$21,0),MATCH(E$3,Scoreboard!$B$1:$AE$1,0))-INDEX(Scoreboard!$B$22:$AE$22,MATCH(E$3,Scoreboard!$B$1:$AE$1,0)),""))</f>
        <v/>
      </c>
      <c r="F10" s="11">
        <f>IF(OR($A10="",F$3=""),"",IFERROR(INDEX(Scoreboard!$B$2:$AE$21,MATCH($A10,Scoreboard!$A$2:$A$21,0),MATCH(F$3,Scoreboard!$B$1:$AE$1,0))-INDEX(Scoreboard!$B$22:$AE$22,MATCH(F$3,Scoreboard!$B$1:$AE$1,0)),""))</f>
        <v/>
      </c>
      <c r="G10" s="11">
        <f>IF(OR($A10="",G$3=""),"",IFERROR(INDEX(Scoreboard!$B$2:$AE$21,MATCH($A10,Scoreboard!$A$2:$A$21,0),MATCH(G$3,Scoreboard!$B$1:$AE$1,0))-INDEX(Scoreboard!$B$22:$AE$22,MATCH(G$3,Scoreboard!$B$1:$AE$1,0)),""))</f>
        <v/>
      </c>
      <c r="H10" s="11">
        <f>IF(OR($A10="",H$3=""),"",IFERROR(INDEX(Scoreboard!$B$2:$AE$21,MATCH($A10,Scoreboard!$A$2:$A$21,0),MATCH(H$3,Scoreboard!$B$1:$AE$1,0))-INDEX(Scoreboard!$B$22:$AE$22,MATCH(H$3,Scoreboard!$B$1:$AE$1,0)),""))</f>
        <v/>
      </c>
      <c r="I10" s="11">
        <f>IF(OR($A10="",I$3=""),"",IFERROR(INDEX(Scoreboard!$B$2:$AE$21,MATCH($A10,Scoreboard!$A$2:$A$21,0),MATCH(I$3,Scoreboard!$B$1:$AE$1,0))-INDEX(Scoreboard!$B$22:$AE$22,MATCH(I$3,Scoreboard!$B$1:$AE$1,0)),""))</f>
        <v/>
      </c>
      <c r="J10" s="11">
        <f>IF(OR($A10="",J$3=""),"",IFERROR(INDEX(Scoreboard!$B$2:$AE$21,MATCH($A10,Scoreboard!$A$2:$A$21,0),MATCH(J$3,Scoreboard!$B$1:$AE$1,0))-INDEX(Scoreboard!$B$22:$AE$22,MATCH(J$3,Scoreboard!$B$1:$AE$1,0)),""))</f>
        <v/>
      </c>
      <c r="K10" s="11">
        <f>IF(OR($A10="",K$3=""),"",IFERROR(INDEX(Scoreboard!$B$2:$AE$21,MATCH($A10,Scoreboard!$A$2:$A$21,0),MATCH(K$3,Scoreboard!$B$1:$AE$1,0))-INDEX(Scoreboard!$B$22:$AE$22,MATCH(K$3,Scoreboard!$B$1:$AE$1,0)),""))</f>
        <v/>
      </c>
      <c r="L10" s="11">
        <f>IF(OR($A10="",L$3=""),"",IFERROR(INDEX(Scoreboard!$B$2:$AE$21,MATCH($A10,Scoreboard!$A$2:$A$21,0),MATCH(L$3,Scoreboard!$B$1:$AE$1,0))-INDEX(Scoreboard!$B$22:$AE$22,MATCH(L$3,Scoreboard!$B$1:$AE$1,0)),""))</f>
        <v/>
      </c>
      <c r="M10" s="11">
        <f>IF(OR($A10="",M$3=""),"",IFERROR(INDEX(Scoreboard!$B$2:$AE$21,MATCH($A10,Scoreboard!$A$2:$A$21,0),MATCH(M$3,Scoreboard!$B$1:$AE$1,0))-INDEX(Scoreboard!$B$22:$AE$22,MATCH(M$3,Scoreboard!$B$1:$AE$1,0)),""))</f>
        <v/>
      </c>
      <c r="N10" s="11">
        <f>IF(OR($A10="",N$3=""),"",IFERROR(INDEX(Scoreboard!$B$2:$AE$21,MATCH($A10,Scoreboard!$A$2:$A$21,0),MATCH(N$3,Scoreboard!$B$1:$AE$1,0))-INDEX(Scoreboard!$B$22:$AE$22,MATCH(N$3,Scoreboard!$B$1:$AE$1,0)),""))</f>
        <v/>
      </c>
      <c r="O10" s="11">
        <f>IF(OR($A10="",O$3=""),"",IFERROR(INDEX(Scoreboard!$B$2:$AE$21,MATCH($A10,Scoreboard!$A$2:$A$21,0),MATCH(O$3,Scoreboard!$B$1:$AE$1,0))-INDEX(Scoreboard!$B$22:$AE$22,MATCH(O$3,Scoreboard!$B$1:$AE$1,0)),""))</f>
        <v/>
      </c>
      <c r="P10" s="11">
        <f>IF(OR($A10="",P$3=""),"",IFERROR(INDEX(Scoreboard!$B$2:$AE$21,MATCH($A10,Scoreboard!$A$2:$A$21,0),MATCH(P$3,Scoreboard!$B$1:$AE$1,0))-INDEX(Scoreboard!$B$22:$AE$22,MATCH(P$3,Scoreboard!$B$1:$AE$1,0)),""))</f>
        <v/>
      </c>
      <c r="Q10" s="11">
        <f>IF(OR($A10="",Q$3=""),"",IFERROR(INDEX(Scoreboard!$B$2:$AE$21,MATCH($A10,Scoreboard!$A$2:$A$21,0),MATCH(Q$3,Scoreboard!$B$1:$AE$1,0))-INDEX(Scoreboard!$B$22:$AE$22,MATCH(Q$3,Scoreboard!$B$1:$AE$1,0)),""))</f>
        <v/>
      </c>
      <c r="R10" s="11">
        <f>IF(OR($A10="",R$3=""),"",IFERROR(INDEX(Scoreboard!$B$2:$AE$21,MATCH($A10,Scoreboard!$A$2:$A$21,0),MATCH(R$3,Scoreboard!$B$1:$AE$1,0))-INDEX(Scoreboard!$B$22:$AE$22,MATCH(R$3,Scoreboard!$B$1:$AE$1,0)),""))</f>
        <v/>
      </c>
      <c r="S10" s="11">
        <f>IF(OR($A10="",S$3=""),"",IFERROR(INDEX(Scoreboard!$B$2:$AE$21,MATCH($A10,Scoreboard!$A$2:$A$21,0),MATCH(S$3,Scoreboard!$B$1:$AE$1,0))-INDEX(Scoreboard!$B$22:$AE$22,MATCH(S$3,Scoreboard!$B$1:$AE$1,0)),""))</f>
        <v/>
      </c>
      <c r="T10" s="11">
        <f>IF(OR($A10="",T$3=""),"",IFERROR(INDEX(Scoreboard!$B$2:$AE$21,MATCH($A10,Scoreboard!$A$2:$A$21,0),MATCH(T$3,Scoreboard!$B$1:$AE$1,0))-INDEX(Scoreboard!$B$22:$AE$22,MATCH(T$3,Scoreboard!$B$1:$AE$1,0)),""))</f>
        <v/>
      </c>
      <c r="U10" s="11">
        <f>IF(OR($A10="",U$3=""),"",IFERROR(INDEX(Scoreboard!$B$2:$AE$21,MATCH($A10,Scoreboard!$A$2:$A$21,0),MATCH(U$3,Scoreboard!$B$1:$AE$1,0))-INDEX(Scoreboard!$B$22:$AE$22,MATCH(U$3,Scoreboard!$B$1:$AE$1,0)),""))</f>
        <v/>
      </c>
      <c r="V10" s="11">
        <f>IF(OR($A10="",V$3=""),"",IFERROR(INDEX(Scoreboard!$B$2:$AE$21,MATCH($A10,Scoreboard!$A$2:$A$21,0),MATCH(V$3,Scoreboard!$B$1:$AE$1,0))-INDEX(Scoreboard!$B$22:$AE$22,MATCH(V$3,Scoreboard!$B$1:$AE$1,0)),""))</f>
        <v/>
      </c>
      <c r="W10" s="11">
        <f>IF(OR($A10="",W$3=""),"",IFERROR(INDEX(Scoreboard!$B$2:$AE$21,MATCH($A10,Scoreboard!$A$2:$A$21,0),MATCH(W$3,Scoreboard!$B$1:$AE$1,0))-INDEX(Scoreboard!$B$22:$AE$22,MATCH(W$3,Scoreboard!$B$1:$AE$1,0)),""))</f>
        <v/>
      </c>
      <c r="X10" s="11">
        <f>IF(OR($A10="",X$3=""),"",IFERROR(INDEX(Scoreboard!$B$2:$AE$21,MATCH($A10,Scoreboard!$A$2:$A$21,0),MATCH(X$3,Scoreboard!$B$1:$AE$1,0))-INDEX(Scoreboard!$B$22:$AE$22,MATCH(X$3,Scoreboard!$B$1:$AE$1,0)),""))</f>
        <v/>
      </c>
      <c r="Y10" s="11">
        <f>IF(OR($A10="",Y$3=""),"",IFERROR(INDEX(Scoreboard!$B$2:$AE$21,MATCH($A10,Scoreboard!$A$2:$A$21,0),MATCH(Y$3,Scoreboard!$B$1:$AE$1,0))-INDEX(Scoreboard!$B$22:$AE$22,MATCH(Y$3,Scoreboard!$B$1:$AE$1,0)),""))</f>
        <v/>
      </c>
      <c r="Z10" s="11">
        <f>IF(OR($A10="",Z$3=""),"",IFERROR(INDEX(Scoreboard!$B$2:$AE$21,MATCH($A10,Scoreboard!$A$2:$A$21,0),MATCH(Z$3,Scoreboard!$B$1:$AE$1,0))-INDEX(Scoreboard!$B$22:$AE$22,MATCH(Z$3,Scoreboard!$B$1:$AE$1,0)),""))</f>
        <v/>
      </c>
      <c r="AA10" s="11">
        <f>IF(OR($A10="",AA$3=""),"",IFERROR(INDEX(Scoreboard!$B$2:$AE$21,MATCH($A10,Scoreboard!$A$2:$A$21,0),MATCH(AA$3,Scoreboard!$B$1:$AE$1,0))-INDEX(Scoreboard!$B$22:$AE$22,MATCH(AA$3,Scoreboard!$B$1:$AE$1,0)),""))</f>
        <v/>
      </c>
      <c r="AB10" s="11">
        <f>IF(OR($A10="",AB$3=""),"",IFERROR(INDEX(Scoreboard!$B$2:$AE$21,MATCH($A10,Scoreboard!$A$2:$A$21,0),MATCH(AB$3,Scoreboard!$B$1:$AE$1,0))-INDEX(Scoreboard!$B$22:$AE$22,MATCH(AB$3,Scoreboard!$B$1:$AE$1,0)),""))</f>
        <v/>
      </c>
      <c r="AC10" s="11">
        <f>IF(OR($A10="",AC$3=""),"",IFERROR(INDEX(Scoreboard!$B$2:$AE$21,MATCH($A10,Scoreboard!$A$2:$A$21,0),MATCH(AC$3,Scoreboard!$B$1:$AE$1,0))-INDEX(Scoreboard!$B$22:$AE$22,MATCH(AC$3,Scoreboard!$B$1:$AE$1,0)),""))</f>
        <v/>
      </c>
      <c r="AD10" s="11">
        <f>IF(OR($A10="",AD$3=""),"",IFERROR(INDEX(Scoreboard!$B$2:$AE$21,MATCH($A10,Scoreboard!$A$2:$A$21,0),MATCH(AD$3,Scoreboard!$B$1:$AE$1,0))-INDEX(Scoreboard!$B$22:$AE$22,MATCH(AD$3,Scoreboard!$B$1:$AE$1,0)),""))</f>
        <v/>
      </c>
      <c r="AE10" s="11">
        <f>IF(OR($A10="",AE$3=""),"",IFERROR(INDEX(Scoreboard!$B$2:$AE$21,MATCH($A10,Scoreboard!$A$2:$A$21,0),MATCH(AE$3,Scoreboard!$B$1:$AE$1,0))-INDEX(Scoreboard!$B$22:$AE$22,MATCH(AE$3,Scoreboard!$B$1:$AE$1,0)),""))</f>
        <v/>
      </c>
    </row>
    <row r="11">
      <c r="A11" s="5">
        <f>IFERROR(Config!A9,"")</f>
        <v/>
      </c>
      <c r="B11" s="11">
        <f>IF(OR($A11="",B$3=""),"",IFERROR(INDEX(Scoreboard!$B$2:$AE$21,MATCH($A11,Scoreboard!$A$2:$A$21,0),MATCH(B$3,Scoreboard!$B$1:$AE$1,0))-INDEX(Scoreboard!$B$22:$AE$22,MATCH(B$3,Scoreboard!$B$1:$AE$1,0)),""))</f>
        <v/>
      </c>
      <c r="C11" s="11">
        <f>IF(OR($A11="",C$3=""),"",IFERROR(INDEX(Scoreboard!$B$2:$AE$21,MATCH($A11,Scoreboard!$A$2:$A$21,0),MATCH(C$3,Scoreboard!$B$1:$AE$1,0))-INDEX(Scoreboard!$B$22:$AE$22,MATCH(C$3,Scoreboard!$B$1:$AE$1,0)),""))</f>
        <v/>
      </c>
      <c r="D11" s="11">
        <f>IF(OR($A11="",D$3=""),"",IFERROR(INDEX(Scoreboard!$B$2:$AE$21,MATCH($A11,Scoreboard!$A$2:$A$21,0),MATCH(D$3,Scoreboard!$B$1:$AE$1,0))-INDEX(Scoreboard!$B$22:$AE$22,MATCH(D$3,Scoreboard!$B$1:$AE$1,0)),""))</f>
        <v/>
      </c>
      <c r="E11" s="11">
        <f>IF(OR($A11="",E$3=""),"",IFERROR(INDEX(Scoreboard!$B$2:$AE$21,MATCH($A11,Scoreboard!$A$2:$A$21,0),MATCH(E$3,Scoreboard!$B$1:$AE$1,0))-INDEX(Scoreboard!$B$22:$AE$22,MATCH(E$3,Scoreboard!$B$1:$AE$1,0)),""))</f>
        <v/>
      </c>
      <c r="F11" s="11">
        <f>IF(OR($A11="",F$3=""),"",IFERROR(INDEX(Scoreboard!$B$2:$AE$21,MATCH($A11,Scoreboard!$A$2:$A$21,0),MATCH(F$3,Scoreboard!$B$1:$AE$1,0))-INDEX(Scoreboard!$B$22:$AE$22,MATCH(F$3,Scoreboard!$B$1:$AE$1,0)),""))</f>
        <v/>
      </c>
      <c r="G11" s="11">
        <f>IF(OR($A11="",G$3=""),"",IFERROR(INDEX(Scoreboard!$B$2:$AE$21,MATCH($A11,Scoreboard!$A$2:$A$21,0),MATCH(G$3,Scoreboard!$B$1:$AE$1,0))-INDEX(Scoreboard!$B$22:$AE$22,MATCH(G$3,Scoreboard!$B$1:$AE$1,0)),""))</f>
        <v/>
      </c>
      <c r="H11" s="11">
        <f>IF(OR($A11="",H$3=""),"",IFERROR(INDEX(Scoreboard!$B$2:$AE$21,MATCH($A11,Scoreboard!$A$2:$A$21,0),MATCH(H$3,Scoreboard!$B$1:$AE$1,0))-INDEX(Scoreboard!$B$22:$AE$22,MATCH(H$3,Scoreboard!$B$1:$AE$1,0)),""))</f>
        <v/>
      </c>
      <c r="I11" s="11">
        <f>IF(OR($A11="",I$3=""),"",IFERROR(INDEX(Scoreboard!$B$2:$AE$21,MATCH($A11,Scoreboard!$A$2:$A$21,0),MATCH(I$3,Scoreboard!$B$1:$AE$1,0))-INDEX(Scoreboard!$B$22:$AE$22,MATCH(I$3,Scoreboard!$B$1:$AE$1,0)),""))</f>
        <v/>
      </c>
      <c r="J11" s="11">
        <f>IF(OR($A11="",J$3=""),"",IFERROR(INDEX(Scoreboard!$B$2:$AE$21,MATCH($A11,Scoreboard!$A$2:$A$21,0),MATCH(J$3,Scoreboard!$B$1:$AE$1,0))-INDEX(Scoreboard!$B$22:$AE$22,MATCH(J$3,Scoreboard!$B$1:$AE$1,0)),""))</f>
        <v/>
      </c>
      <c r="K11" s="11">
        <f>IF(OR($A11="",K$3=""),"",IFERROR(INDEX(Scoreboard!$B$2:$AE$21,MATCH($A11,Scoreboard!$A$2:$A$21,0),MATCH(K$3,Scoreboard!$B$1:$AE$1,0))-INDEX(Scoreboard!$B$22:$AE$22,MATCH(K$3,Scoreboard!$B$1:$AE$1,0)),""))</f>
        <v/>
      </c>
      <c r="L11" s="11">
        <f>IF(OR($A11="",L$3=""),"",IFERROR(INDEX(Scoreboard!$B$2:$AE$21,MATCH($A11,Scoreboard!$A$2:$A$21,0),MATCH(L$3,Scoreboard!$B$1:$AE$1,0))-INDEX(Scoreboard!$B$22:$AE$22,MATCH(L$3,Scoreboard!$B$1:$AE$1,0)),""))</f>
        <v/>
      </c>
      <c r="M11" s="11">
        <f>IF(OR($A11="",M$3=""),"",IFERROR(INDEX(Scoreboard!$B$2:$AE$21,MATCH($A11,Scoreboard!$A$2:$A$21,0),MATCH(M$3,Scoreboard!$B$1:$AE$1,0))-INDEX(Scoreboard!$B$22:$AE$22,MATCH(M$3,Scoreboard!$B$1:$AE$1,0)),""))</f>
        <v/>
      </c>
      <c r="N11" s="11">
        <f>IF(OR($A11="",N$3=""),"",IFERROR(INDEX(Scoreboard!$B$2:$AE$21,MATCH($A11,Scoreboard!$A$2:$A$21,0),MATCH(N$3,Scoreboard!$B$1:$AE$1,0))-INDEX(Scoreboard!$B$22:$AE$22,MATCH(N$3,Scoreboard!$B$1:$AE$1,0)),""))</f>
        <v/>
      </c>
      <c r="O11" s="11">
        <f>IF(OR($A11="",O$3=""),"",IFERROR(INDEX(Scoreboard!$B$2:$AE$21,MATCH($A11,Scoreboard!$A$2:$A$21,0),MATCH(O$3,Scoreboard!$B$1:$AE$1,0))-INDEX(Scoreboard!$B$22:$AE$22,MATCH(O$3,Scoreboard!$B$1:$AE$1,0)),""))</f>
        <v/>
      </c>
      <c r="P11" s="11">
        <f>IF(OR($A11="",P$3=""),"",IFERROR(INDEX(Scoreboard!$B$2:$AE$21,MATCH($A11,Scoreboard!$A$2:$A$21,0),MATCH(P$3,Scoreboard!$B$1:$AE$1,0))-INDEX(Scoreboard!$B$22:$AE$22,MATCH(P$3,Scoreboard!$B$1:$AE$1,0)),""))</f>
        <v/>
      </c>
      <c r="Q11" s="11">
        <f>IF(OR($A11="",Q$3=""),"",IFERROR(INDEX(Scoreboard!$B$2:$AE$21,MATCH($A11,Scoreboard!$A$2:$A$21,0),MATCH(Q$3,Scoreboard!$B$1:$AE$1,0))-INDEX(Scoreboard!$B$22:$AE$22,MATCH(Q$3,Scoreboard!$B$1:$AE$1,0)),""))</f>
        <v/>
      </c>
      <c r="R11" s="11">
        <f>IF(OR($A11="",R$3=""),"",IFERROR(INDEX(Scoreboard!$B$2:$AE$21,MATCH($A11,Scoreboard!$A$2:$A$21,0),MATCH(R$3,Scoreboard!$B$1:$AE$1,0))-INDEX(Scoreboard!$B$22:$AE$22,MATCH(R$3,Scoreboard!$B$1:$AE$1,0)),""))</f>
        <v/>
      </c>
      <c r="S11" s="11">
        <f>IF(OR($A11="",S$3=""),"",IFERROR(INDEX(Scoreboard!$B$2:$AE$21,MATCH($A11,Scoreboard!$A$2:$A$21,0),MATCH(S$3,Scoreboard!$B$1:$AE$1,0))-INDEX(Scoreboard!$B$22:$AE$22,MATCH(S$3,Scoreboard!$B$1:$AE$1,0)),""))</f>
        <v/>
      </c>
      <c r="T11" s="11">
        <f>IF(OR($A11="",T$3=""),"",IFERROR(INDEX(Scoreboard!$B$2:$AE$21,MATCH($A11,Scoreboard!$A$2:$A$21,0),MATCH(T$3,Scoreboard!$B$1:$AE$1,0))-INDEX(Scoreboard!$B$22:$AE$22,MATCH(T$3,Scoreboard!$B$1:$AE$1,0)),""))</f>
        <v/>
      </c>
      <c r="U11" s="11">
        <f>IF(OR($A11="",U$3=""),"",IFERROR(INDEX(Scoreboard!$B$2:$AE$21,MATCH($A11,Scoreboard!$A$2:$A$21,0),MATCH(U$3,Scoreboard!$B$1:$AE$1,0))-INDEX(Scoreboard!$B$22:$AE$22,MATCH(U$3,Scoreboard!$B$1:$AE$1,0)),""))</f>
        <v/>
      </c>
      <c r="V11" s="11">
        <f>IF(OR($A11="",V$3=""),"",IFERROR(INDEX(Scoreboard!$B$2:$AE$21,MATCH($A11,Scoreboard!$A$2:$A$21,0),MATCH(V$3,Scoreboard!$B$1:$AE$1,0))-INDEX(Scoreboard!$B$22:$AE$22,MATCH(V$3,Scoreboard!$B$1:$AE$1,0)),""))</f>
        <v/>
      </c>
      <c r="W11" s="11">
        <f>IF(OR($A11="",W$3=""),"",IFERROR(INDEX(Scoreboard!$B$2:$AE$21,MATCH($A11,Scoreboard!$A$2:$A$21,0),MATCH(W$3,Scoreboard!$B$1:$AE$1,0))-INDEX(Scoreboard!$B$22:$AE$22,MATCH(W$3,Scoreboard!$B$1:$AE$1,0)),""))</f>
        <v/>
      </c>
      <c r="X11" s="11">
        <f>IF(OR($A11="",X$3=""),"",IFERROR(INDEX(Scoreboard!$B$2:$AE$21,MATCH($A11,Scoreboard!$A$2:$A$21,0),MATCH(X$3,Scoreboard!$B$1:$AE$1,0))-INDEX(Scoreboard!$B$22:$AE$22,MATCH(X$3,Scoreboard!$B$1:$AE$1,0)),""))</f>
        <v/>
      </c>
      <c r="Y11" s="11">
        <f>IF(OR($A11="",Y$3=""),"",IFERROR(INDEX(Scoreboard!$B$2:$AE$21,MATCH($A11,Scoreboard!$A$2:$A$21,0),MATCH(Y$3,Scoreboard!$B$1:$AE$1,0))-INDEX(Scoreboard!$B$22:$AE$22,MATCH(Y$3,Scoreboard!$B$1:$AE$1,0)),""))</f>
        <v/>
      </c>
      <c r="Z11" s="11">
        <f>IF(OR($A11="",Z$3=""),"",IFERROR(INDEX(Scoreboard!$B$2:$AE$21,MATCH($A11,Scoreboard!$A$2:$A$21,0),MATCH(Z$3,Scoreboard!$B$1:$AE$1,0))-INDEX(Scoreboard!$B$22:$AE$22,MATCH(Z$3,Scoreboard!$B$1:$AE$1,0)),""))</f>
        <v/>
      </c>
      <c r="AA11" s="11">
        <f>IF(OR($A11="",AA$3=""),"",IFERROR(INDEX(Scoreboard!$B$2:$AE$21,MATCH($A11,Scoreboard!$A$2:$A$21,0),MATCH(AA$3,Scoreboard!$B$1:$AE$1,0))-INDEX(Scoreboard!$B$22:$AE$22,MATCH(AA$3,Scoreboard!$B$1:$AE$1,0)),""))</f>
        <v/>
      </c>
      <c r="AB11" s="11">
        <f>IF(OR($A11="",AB$3=""),"",IFERROR(INDEX(Scoreboard!$B$2:$AE$21,MATCH($A11,Scoreboard!$A$2:$A$21,0),MATCH(AB$3,Scoreboard!$B$1:$AE$1,0))-INDEX(Scoreboard!$B$22:$AE$22,MATCH(AB$3,Scoreboard!$B$1:$AE$1,0)),""))</f>
        <v/>
      </c>
      <c r="AC11" s="11">
        <f>IF(OR($A11="",AC$3=""),"",IFERROR(INDEX(Scoreboard!$B$2:$AE$21,MATCH($A11,Scoreboard!$A$2:$A$21,0),MATCH(AC$3,Scoreboard!$B$1:$AE$1,0))-INDEX(Scoreboard!$B$22:$AE$22,MATCH(AC$3,Scoreboard!$B$1:$AE$1,0)),""))</f>
        <v/>
      </c>
      <c r="AD11" s="11">
        <f>IF(OR($A11="",AD$3=""),"",IFERROR(INDEX(Scoreboard!$B$2:$AE$21,MATCH($A11,Scoreboard!$A$2:$A$21,0),MATCH(AD$3,Scoreboard!$B$1:$AE$1,0))-INDEX(Scoreboard!$B$22:$AE$22,MATCH(AD$3,Scoreboard!$B$1:$AE$1,0)),""))</f>
        <v/>
      </c>
      <c r="AE11" s="11">
        <f>IF(OR($A11="",AE$3=""),"",IFERROR(INDEX(Scoreboard!$B$2:$AE$21,MATCH($A11,Scoreboard!$A$2:$A$21,0),MATCH(AE$3,Scoreboard!$B$1:$AE$1,0))-INDEX(Scoreboard!$B$22:$AE$22,MATCH(AE$3,Scoreboard!$B$1:$AE$1,0)),""))</f>
        <v/>
      </c>
    </row>
    <row r="12">
      <c r="A12" s="5">
        <f>IFERROR(Config!A10,"")</f>
        <v/>
      </c>
      <c r="B12" s="11">
        <f>IF(OR($A12="",B$3=""),"",IFERROR(INDEX(Scoreboard!$B$2:$AE$21,MATCH($A12,Scoreboard!$A$2:$A$21,0),MATCH(B$3,Scoreboard!$B$1:$AE$1,0))-INDEX(Scoreboard!$B$22:$AE$22,MATCH(B$3,Scoreboard!$B$1:$AE$1,0)),""))</f>
        <v/>
      </c>
      <c r="C12" s="11">
        <f>IF(OR($A12="",C$3=""),"",IFERROR(INDEX(Scoreboard!$B$2:$AE$21,MATCH($A12,Scoreboard!$A$2:$A$21,0),MATCH(C$3,Scoreboard!$B$1:$AE$1,0))-INDEX(Scoreboard!$B$22:$AE$22,MATCH(C$3,Scoreboard!$B$1:$AE$1,0)),""))</f>
        <v/>
      </c>
      <c r="D12" s="11">
        <f>IF(OR($A12="",D$3=""),"",IFERROR(INDEX(Scoreboard!$B$2:$AE$21,MATCH($A12,Scoreboard!$A$2:$A$21,0),MATCH(D$3,Scoreboard!$B$1:$AE$1,0))-INDEX(Scoreboard!$B$22:$AE$22,MATCH(D$3,Scoreboard!$B$1:$AE$1,0)),""))</f>
        <v/>
      </c>
      <c r="E12" s="11">
        <f>IF(OR($A12="",E$3=""),"",IFERROR(INDEX(Scoreboard!$B$2:$AE$21,MATCH($A12,Scoreboard!$A$2:$A$21,0),MATCH(E$3,Scoreboard!$B$1:$AE$1,0))-INDEX(Scoreboard!$B$22:$AE$22,MATCH(E$3,Scoreboard!$B$1:$AE$1,0)),""))</f>
        <v/>
      </c>
      <c r="F12" s="11">
        <f>IF(OR($A12="",F$3=""),"",IFERROR(INDEX(Scoreboard!$B$2:$AE$21,MATCH($A12,Scoreboard!$A$2:$A$21,0),MATCH(F$3,Scoreboard!$B$1:$AE$1,0))-INDEX(Scoreboard!$B$22:$AE$22,MATCH(F$3,Scoreboard!$B$1:$AE$1,0)),""))</f>
        <v/>
      </c>
      <c r="G12" s="11">
        <f>IF(OR($A12="",G$3=""),"",IFERROR(INDEX(Scoreboard!$B$2:$AE$21,MATCH($A12,Scoreboard!$A$2:$A$21,0),MATCH(G$3,Scoreboard!$B$1:$AE$1,0))-INDEX(Scoreboard!$B$22:$AE$22,MATCH(G$3,Scoreboard!$B$1:$AE$1,0)),""))</f>
        <v/>
      </c>
      <c r="H12" s="11">
        <f>IF(OR($A12="",H$3=""),"",IFERROR(INDEX(Scoreboard!$B$2:$AE$21,MATCH($A12,Scoreboard!$A$2:$A$21,0),MATCH(H$3,Scoreboard!$B$1:$AE$1,0))-INDEX(Scoreboard!$B$22:$AE$22,MATCH(H$3,Scoreboard!$B$1:$AE$1,0)),""))</f>
        <v/>
      </c>
      <c r="I12" s="11">
        <f>IF(OR($A12="",I$3=""),"",IFERROR(INDEX(Scoreboard!$B$2:$AE$21,MATCH($A12,Scoreboard!$A$2:$A$21,0),MATCH(I$3,Scoreboard!$B$1:$AE$1,0))-INDEX(Scoreboard!$B$22:$AE$22,MATCH(I$3,Scoreboard!$B$1:$AE$1,0)),""))</f>
        <v/>
      </c>
      <c r="J12" s="11">
        <f>IF(OR($A12="",J$3=""),"",IFERROR(INDEX(Scoreboard!$B$2:$AE$21,MATCH($A12,Scoreboard!$A$2:$A$21,0),MATCH(J$3,Scoreboard!$B$1:$AE$1,0))-INDEX(Scoreboard!$B$22:$AE$22,MATCH(J$3,Scoreboard!$B$1:$AE$1,0)),""))</f>
        <v/>
      </c>
      <c r="K12" s="11">
        <f>IF(OR($A12="",K$3=""),"",IFERROR(INDEX(Scoreboard!$B$2:$AE$21,MATCH($A12,Scoreboard!$A$2:$A$21,0),MATCH(K$3,Scoreboard!$B$1:$AE$1,0))-INDEX(Scoreboard!$B$22:$AE$22,MATCH(K$3,Scoreboard!$B$1:$AE$1,0)),""))</f>
        <v/>
      </c>
      <c r="L12" s="11">
        <f>IF(OR($A12="",L$3=""),"",IFERROR(INDEX(Scoreboard!$B$2:$AE$21,MATCH($A12,Scoreboard!$A$2:$A$21,0),MATCH(L$3,Scoreboard!$B$1:$AE$1,0))-INDEX(Scoreboard!$B$22:$AE$22,MATCH(L$3,Scoreboard!$B$1:$AE$1,0)),""))</f>
        <v/>
      </c>
      <c r="M12" s="11">
        <f>IF(OR($A12="",M$3=""),"",IFERROR(INDEX(Scoreboard!$B$2:$AE$21,MATCH($A12,Scoreboard!$A$2:$A$21,0),MATCH(M$3,Scoreboard!$B$1:$AE$1,0))-INDEX(Scoreboard!$B$22:$AE$22,MATCH(M$3,Scoreboard!$B$1:$AE$1,0)),""))</f>
        <v/>
      </c>
      <c r="N12" s="11">
        <f>IF(OR($A12="",N$3=""),"",IFERROR(INDEX(Scoreboard!$B$2:$AE$21,MATCH($A12,Scoreboard!$A$2:$A$21,0),MATCH(N$3,Scoreboard!$B$1:$AE$1,0))-INDEX(Scoreboard!$B$22:$AE$22,MATCH(N$3,Scoreboard!$B$1:$AE$1,0)),""))</f>
        <v/>
      </c>
      <c r="O12" s="11">
        <f>IF(OR($A12="",O$3=""),"",IFERROR(INDEX(Scoreboard!$B$2:$AE$21,MATCH($A12,Scoreboard!$A$2:$A$21,0),MATCH(O$3,Scoreboard!$B$1:$AE$1,0))-INDEX(Scoreboard!$B$22:$AE$22,MATCH(O$3,Scoreboard!$B$1:$AE$1,0)),""))</f>
        <v/>
      </c>
      <c r="P12" s="11">
        <f>IF(OR($A12="",P$3=""),"",IFERROR(INDEX(Scoreboard!$B$2:$AE$21,MATCH($A12,Scoreboard!$A$2:$A$21,0),MATCH(P$3,Scoreboard!$B$1:$AE$1,0))-INDEX(Scoreboard!$B$22:$AE$22,MATCH(P$3,Scoreboard!$B$1:$AE$1,0)),""))</f>
        <v/>
      </c>
      <c r="Q12" s="11">
        <f>IF(OR($A12="",Q$3=""),"",IFERROR(INDEX(Scoreboard!$B$2:$AE$21,MATCH($A12,Scoreboard!$A$2:$A$21,0),MATCH(Q$3,Scoreboard!$B$1:$AE$1,0))-INDEX(Scoreboard!$B$22:$AE$22,MATCH(Q$3,Scoreboard!$B$1:$AE$1,0)),""))</f>
        <v/>
      </c>
      <c r="R12" s="11">
        <f>IF(OR($A12="",R$3=""),"",IFERROR(INDEX(Scoreboard!$B$2:$AE$21,MATCH($A12,Scoreboard!$A$2:$A$21,0),MATCH(R$3,Scoreboard!$B$1:$AE$1,0))-INDEX(Scoreboard!$B$22:$AE$22,MATCH(R$3,Scoreboard!$B$1:$AE$1,0)),""))</f>
        <v/>
      </c>
      <c r="S12" s="11">
        <f>IF(OR($A12="",S$3=""),"",IFERROR(INDEX(Scoreboard!$B$2:$AE$21,MATCH($A12,Scoreboard!$A$2:$A$21,0),MATCH(S$3,Scoreboard!$B$1:$AE$1,0))-INDEX(Scoreboard!$B$22:$AE$22,MATCH(S$3,Scoreboard!$B$1:$AE$1,0)),""))</f>
        <v/>
      </c>
      <c r="T12" s="11">
        <f>IF(OR($A12="",T$3=""),"",IFERROR(INDEX(Scoreboard!$B$2:$AE$21,MATCH($A12,Scoreboard!$A$2:$A$21,0),MATCH(T$3,Scoreboard!$B$1:$AE$1,0))-INDEX(Scoreboard!$B$22:$AE$22,MATCH(T$3,Scoreboard!$B$1:$AE$1,0)),""))</f>
        <v/>
      </c>
      <c r="U12" s="11">
        <f>IF(OR($A12="",U$3=""),"",IFERROR(INDEX(Scoreboard!$B$2:$AE$21,MATCH($A12,Scoreboard!$A$2:$A$21,0),MATCH(U$3,Scoreboard!$B$1:$AE$1,0))-INDEX(Scoreboard!$B$22:$AE$22,MATCH(U$3,Scoreboard!$B$1:$AE$1,0)),""))</f>
        <v/>
      </c>
      <c r="V12" s="11">
        <f>IF(OR($A12="",V$3=""),"",IFERROR(INDEX(Scoreboard!$B$2:$AE$21,MATCH($A12,Scoreboard!$A$2:$A$21,0),MATCH(V$3,Scoreboard!$B$1:$AE$1,0))-INDEX(Scoreboard!$B$22:$AE$22,MATCH(V$3,Scoreboard!$B$1:$AE$1,0)),""))</f>
        <v/>
      </c>
      <c r="W12" s="11">
        <f>IF(OR($A12="",W$3=""),"",IFERROR(INDEX(Scoreboard!$B$2:$AE$21,MATCH($A12,Scoreboard!$A$2:$A$21,0),MATCH(W$3,Scoreboard!$B$1:$AE$1,0))-INDEX(Scoreboard!$B$22:$AE$22,MATCH(W$3,Scoreboard!$B$1:$AE$1,0)),""))</f>
        <v/>
      </c>
      <c r="X12" s="11">
        <f>IF(OR($A12="",X$3=""),"",IFERROR(INDEX(Scoreboard!$B$2:$AE$21,MATCH($A12,Scoreboard!$A$2:$A$21,0),MATCH(X$3,Scoreboard!$B$1:$AE$1,0))-INDEX(Scoreboard!$B$22:$AE$22,MATCH(X$3,Scoreboard!$B$1:$AE$1,0)),""))</f>
        <v/>
      </c>
      <c r="Y12" s="11">
        <f>IF(OR($A12="",Y$3=""),"",IFERROR(INDEX(Scoreboard!$B$2:$AE$21,MATCH($A12,Scoreboard!$A$2:$A$21,0),MATCH(Y$3,Scoreboard!$B$1:$AE$1,0))-INDEX(Scoreboard!$B$22:$AE$22,MATCH(Y$3,Scoreboard!$B$1:$AE$1,0)),""))</f>
        <v/>
      </c>
      <c r="Z12" s="11">
        <f>IF(OR($A12="",Z$3=""),"",IFERROR(INDEX(Scoreboard!$B$2:$AE$21,MATCH($A12,Scoreboard!$A$2:$A$21,0),MATCH(Z$3,Scoreboard!$B$1:$AE$1,0))-INDEX(Scoreboard!$B$22:$AE$22,MATCH(Z$3,Scoreboard!$B$1:$AE$1,0)),""))</f>
        <v/>
      </c>
      <c r="AA12" s="11">
        <f>IF(OR($A12="",AA$3=""),"",IFERROR(INDEX(Scoreboard!$B$2:$AE$21,MATCH($A12,Scoreboard!$A$2:$A$21,0),MATCH(AA$3,Scoreboard!$B$1:$AE$1,0))-INDEX(Scoreboard!$B$22:$AE$22,MATCH(AA$3,Scoreboard!$B$1:$AE$1,0)),""))</f>
        <v/>
      </c>
      <c r="AB12" s="11">
        <f>IF(OR($A12="",AB$3=""),"",IFERROR(INDEX(Scoreboard!$B$2:$AE$21,MATCH($A12,Scoreboard!$A$2:$A$21,0),MATCH(AB$3,Scoreboard!$B$1:$AE$1,0))-INDEX(Scoreboard!$B$22:$AE$22,MATCH(AB$3,Scoreboard!$B$1:$AE$1,0)),""))</f>
        <v/>
      </c>
      <c r="AC12" s="11">
        <f>IF(OR($A12="",AC$3=""),"",IFERROR(INDEX(Scoreboard!$B$2:$AE$21,MATCH($A12,Scoreboard!$A$2:$A$21,0),MATCH(AC$3,Scoreboard!$B$1:$AE$1,0))-INDEX(Scoreboard!$B$22:$AE$22,MATCH(AC$3,Scoreboard!$B$1:$AE$1,0)),""))</f>
        <v/>
      </c>
      <c r="AD12" s="11">
        <f>IF(OR($A12="",AD$3=""),"",IFERROR(INDEX(Scoreboard!$B$2:$AE$21,MATCH($A12,Scoreboard!$A$2:$A$21,0),MATCH(AD$3,Scoreboard!$B$1:$AE$1,0))-INDEX(Scoreboard!$B$22:$AE$22,MATCH(AD$3,Scoreboard!$B$1:$AE$1,0)),""))</f>
        <v/>
      </c>
      <c r="AE12" s="11">
        <f>IF(OR($A12="",AE$3=""),"",IFERROR(INDEX(Scoreboard!$B$2:$AE$21,MATCH($A12,Scoreboard!$A$2:$A$21,0),MATCH(AE$3,Scoreboard!$B$1:$AE$1,0))-INDEX(Scoreboard!$B$22:$AE$22,MATCH(AE$3,Scoreboard!$B$1:$AE$1,0)),""))</f>
        <v/>
      </c>
    </row>
    <row r="13">
      <c r="A13" s="5">
        <f>IFERROR(Config!A11,"")</f>
        <v/>
      </c>
      <c r="B13" s="11">
        <f>IF(OR($A13="",B$3=""),"",IFERROR(INDEX(Scoreboard!$B$2:$AE$21,MATCH($A13,Scoreboard!$A$2:$A$21,0),MATCH(B$3,Scoreboard!$B$1:$AE$1,0))-INDEX(Scoreboard!$B$22:$AE$22,MATCH(B$3,Scoreboard!$B$1:$AE$1,0)),""))</f>
        <v/>
      </c>
      <c r="C13" s="11">
        <f>IF(OR($A13="",C$3=""),"",IFERROR(INDEX(Scoreboard!$B$2:$AE$21,MATCH($A13,Scoreboard!$A$2:$A$21,0),MATCH(C$3,Scoreboard!$B$1:$AE$1,0))-INDEX(Scoreboard!$B$22:$AE$22,MATCH(C$3,Scoreboard!$B$1:$AE$1,0)),""))</f>
        <v/>
      </c>
      <c r="D13" s="11">
        <f>IF(OR($A13="",D$3=""),"",IFERROR(INDEX(Scoreboard!$B$2:$AE$21,MATCH($A13,Scoreboard!$A$2:$A$21,0),MATCH(D$3,Scoreboard!$B$1:$AE$1,0))-INDEX(Scoreboard!$B$22:$AE$22,MATCH(D$3,Scoreboard!$B$1:$AE$1,0)),""))</f>
        <v/>
      </c>
      <c r="E13" s="11">
        <f>IF(OR($A13="",E$3=""),"",IFERROR(INDEX(Scoreboard!$B$2:$AE$21,MATCH($A13,Scoreboard!$A$2:$A$21,0),MATCH(E$3,Scoreboard!$B$1:$AE$1,0))-INDEX(Scoreboard!$B$22:$AE$22,MATCH(E$3,Scoreboard!$B$1:$AE$1,0)),""))</f>
        <v/>
      </c>
      <c r="F13" s="11">
        <f>IF(OR($A13="",F$3=""),"",IFERROR(INDEX(Scoreboard!$B$2:$AE$21,MATCH($A13,Scoreboard!$A$2:$A$21,0),MATCH(F$3,Scoreboard!$B$1:$AE$1,0))-INDEX(Scoreboard!$B$22:$AE$22,MATCH(F$3,Scoreboard!$B$1:$AE$1,0)),""))</f>
        <v/>
      </c>
      <c r="G13" s="11">
        <f>IF(OR($A13="",G$3=""),"",IFERROR(INDEX(Scoreboard!$B$2:$AE$21,MATCH($A13,Scoreboard!$A$2:$A$21,0),MATCH(G$3,Scoreboard!$B$1:$AE$1,0))-INDEX(Scoreboard!$B$22:$AE$22,MATCH(G$3,Scoreboard!$B$1:$AE$1,0)),""))</f>
        <v/>
      </c>
      <c r="H13" s="11">
        <f>IF(OR($A13="",H$3=""),"",IFERROR(INDEX(Scoreboard!$B$2:$AE$21,MATCH($A13,Scoreboard!$A$2:$A$21,0),MATCH(H$3,Scoreboard!$B$1:$AE$1,0))-INDEX(Scoreboard!$B$22:$AE$22,MATCH(H$3,Scoreboard!$B$1:$AE$1,0)),""))</f>
        <v/>
      </c>
      <c r="I13" s="11">
        <f>IF(OR($A13="",I$3=""),"",IFERROR(INDEX(Scoreboard!$B$2:$AE$21,MATCH($A13,Scoreboard!$A$2:$A$21,0),MATCH(I$3,Scoreboard!$B$1:$AE$1,0))-INDEX(Scoreboard!$B$22:$AE$22,MATCH(I$3,Scoreboard!$B$1:$AE$1,0)),""))</f>
        <v/>
      </c>
      <c r="J13" s="11">
        <f>IF(OR($A13="",J$3=""),"",IFERROR(INDEX(Scoreboard!$B$2:$AE$21,MATCH($A13,Scoreboard!$A$2:$A$21,0),MATCH(J$3,Scoreboard!$B$1:$AE$1,0))-INDEX(Scoreboard!$B$22:$AE$22,MATCH(J$3,Scoreboard!$B$1:$AE$1,0)),""))</f>
        <v/>
      </c>
      <c r="K13" s="11">
        <f>IF(OR($A13="",K$3=""),"",IFERROR(INDEX(Scoreboard!$B$2:$AE$21,MATCH($A13,Scoreboard!$A$2:$A$21,0),MATCH(K$3,Scoreboard!$B$1:$AE$1,0))-INDEX(Scoreboard!$B$22:$AE$22,MATCH(K$3,Scoreboard!$B$1:$AE$1,0)),""))</f>
        <v/>
      </c>
      <c r="L13" s="11">
        <f>IF(OR($A13="",L$3=""),"",IFERROR(INDEX(Scoreboard!$B$2:$AE$21,MATCH($A13,Scoreboard!$A$2:$A$21,0),MATCH(L$3,Scoreboard!$B$1:$AE$1,0))-INDEX(Scoreboard!$B$22:$AE$22,MATCH(L$3,Scoreboard!$B$1:$AE$1,0)),""))</f>
        <v/>
      </c>
      <c r="M13" s="11">
        <f>IF(OR($A13="",M$3=""),"",IFERROR(INDEX(Scoreboard!$B$2:$AE$21,MATCH($A13,Scoreboard!$A$2:$A$21,0),MATCH(M$3,Scoreboard!$B$1:$AE$1,0))-INDEX(Scoreboard!$B$22:$AE$22,MATCH(M$3,Scoreboard!$B$1:$AE$1,0)),""))</f>
        <v/>
      </c>
      <c r="N13" s="11">
        <f>IF(OR($A13="",N$3=""),"",IFERROR(INDEX(Scoreboard!$B$2:$AE$21,MATCH($A13,Scoreboard!$A$2:$A$21,0),MATCH(N$3,Scoreboard!$B$1:$AE$1,0))-INDEX(Scoreboard!$B$22:$AE$22,MATCH(N$3,Scoreboard!$B$1:$AE$1,0)),""))</f>
        <v/>
      </c>
      <c r="O13" s="11">
        <f>IF(OR($A13="",O$3=""),"",IFERROR(INDEX(Scoreboard!$B$2:$AE$21,MATCH($A13,Scoreboard!$A$2:$A$21,0),MATCH(O$3,Scoreboard!$B$1:$AE$1,0))-INDEX(Scoreboard!$B$22:$AE$22,MATCH(O$3,Scoreboard!$B$1:$AE$1,0)),""))</f>
        <v/>
      </c>
      <c r="P13" s="11">
        <f>IF(OR($A13="",P$3=""),"",IFERROR(INDEX(Scoreboard!$B$2:$AE$21,MATCH($A13,Scoreboard!$A$2:$A$21,0),MATCH(P$3,Scoreboard!$B$1:$AE$1,0))-INDEX(Scoreboard!$B$22:$AE$22,MATCH(P$3,Scoreboard!$B$1:$AE$1,0)),""))</f>
        <v/>
      </c>
      <c r="Q13" s="11">
        <f>IF(OR($A13="",Q$3=""),"",IFERROR(INDEX(Scoreboard!$B$2:$AE$21,MATCH($A13,Scoreboard!$A$2:$A$21,0),MATCH(Q$3,Scoreboard!$B$1:$AE$1,0))-INDEX(Scoreboard!$B$22:$AE$22,MATCH(Q$3,Scoreboard!$B$1:$AE$1,0)),""))</f>
        <v/>
      </c>
      <c r="R13" s="11">
        <f>IF(OR($A13="",R$3=""),"",IFERROR(INDEX(Scoreboard!$B$2:$AE$21,MATCH($A13,Scoreboard!$A$2:$A$21,0),MATCH(R$3,Scoreboard!$B$1:$AE$1,0))-INDEX(Scoreboard!$B$22:$AE$22,MATCH(R$3,Scoreboard!$B$1:$AE$1,0)),""))</f>
        <v/>
      </c>
      <c r="S13" s="11">
        <f>IF(OR($A13="",S$3=""),"",IFERROR(INDEX(Scoreboard!$B$2:$AE$21,MATCH($A13,Scoreboard!$A$2:$A$21,0),MATCH(S$3,Scoreboard!$B$1:$AE$1,0))-INDEX(Scoreboard!$B$22:$AE$22,MATCH(S$3,Scoreboard!$B$1:$AE$1,0)),""))</f>
        <v/>
      </c>
      <c r="T13" s="11">
        <f>IF(OR($A13="",T$3=""),"",IFERROR(INDEX(Scoreboard!$B$2:$AE$21,MATCH($A13,Scoreboard!$A$2:$A$21,0),MATCH(T$3,Scoreboard!$B$1:$AE$1,0))-INDEX(Scoreboard!$B$22:$AE$22,MATCH(T$3,Scoreboard!$B$1:$AE$1,0)),""))</f>
        <v/>
      </c>
      <c r="U13" s="11">
        <f>IF(OR($A13="",U$3=""),"",IFERROR(INDEX(Scoreboard!$B$2:$AE$21,MATCH($A13,Scoreboard!$A$2:$A$21,0),MATCH(U$3,Scoreboard!$B$1:$AE$1,0))-INDEX(Scoreboard!$B$22:$AE$22,MATCH(U$3,Scoreboard!$B$1:$AE$1,0)),""))</f>
        <v/>
      </c>
      <c r="V13" s="11">
        <f>IF(OR($A13="",V$3=""),"",IFERROR(INDEX(Scoreboard!$B$2:$AE$21,MATCH($A13,Scoreboard!$A$2:$A$21,0),MATCH(V$3,Scoreboard!$B$1:$AE$1,0))-INDEX(Scoreboard!$B$22:$AE$22,MATCH(V$3,Scoreboard!$B$1:$AE$1,0)),""))</f>
        <v/>
      </c>
      <c r="W13" s="11">
        <f>IF(OR($A13="",W$3=""),"",IFERROR(INDEX(Scoreboard!$B$2:$AE$21,MATCH($A13,Scoreboard!$A$2:$A$21,0),MATCH(W$3,Scoreboard!$B$1:$AE$1,0))-INDEX(Scoreboard!$B$22:$AE$22,MATCH(W$3,Scoreboard!$B$1:$AE$1,0)),""))</f>
        <v/>
      </c>
      <c r="X13" s="11">
        <f>IF(OR($A13="",X$3=""),"",IFERROR(INDEX(Scoreboard!$B$2:$AE$21,MATCH($A13,Scoreboard!$A$2:$A$21,0),MATCH(X$3,Scoreboard!$B$1:$AE$1,0))-INDEX(Scoreboard!$B$22:$AE$22,MATCH(X$3,Scoreboard!$B$1:$AE$1,0)),""))</f>
        <v/>
      </c>
      <c r="Y13" s="11">
        <f>IF(OR($A13="",Y$3=""),"",IFERROR(INDEX(Scoreboard!$B$2:$AE$21,MATCH($A13,Scoreboard!$A$2:$A$21,0),MATCH(Y$3,Scoreboard!$B$1:$AE$1,0))-INDEX(Scoreboard!$B$22:$AE$22,MATCH(Y$3,Scoreboard!$B$1:$AE$1,0)),""))</f>
        <v/>
      </c>
      <c r="Z13" s="11">
        <f>IF(OR($A13="",Z$3=""),"",IFERROR(INDEX(Scoreboard!$B$2:$AE$21,MATCH($A13,Scoreboard!$A$2:$A$21,0),MATCH(Z$3,Scoreboard!$B$1:$AE$1,0))-INDEX(Scoreboard!$B$22:$AE$22,MATCH(Z$3,Scoreboard!$B$1:$AE$1,0)),""))</f>
        <v/>
      </c>
      <c r="AA13" s="11">
        <f>IF(OR($A13="",AA$3=""),"",IFERROR(INDEX(Scoreboard!$B$2:$AE$21,MATCH($A13,Scoreboard!$A$2:$A$21,0),MATCH(AA$3,Scoreboard!$B$1:$AE$1,0))-INDEX(Scoreboard!$B$22:$AE$22,MATCH(AA$3,Scoreboard!$B$1:$AE$1,0)),""))</f>
        <v/>
      </c>
      <c r="AB13" s="11">
        <f>IF(OR($A13="",AB$3=""),"",IFERROR(INDEX(Scoreboard!$B$2:$AE$21,MATCH($A13,Scoreboard!$A$2:$A$21,0),MATCH(AB$3,Scoreboard!$B$1:$AE$1,0))-INDEX(Scoreboard!$B$22:$AE$22,MATCH(AB$3,Scoreboard!$B$1:$AE$1,0)),""))</f>
        <v/>
      </c>
      <c r="AC13" s="11">
        <f>IF(OR($A13="",AC$3=""),"",IFERROR(INDEX(Scoreboard!$B$2:$AE$21,MATCH($A13,Scoreboard!$A$2:$A$21,0),MATCH(AC$3,Scoreboard!$B$1:$AE$1,0))-INDEX(Scoreboard!$B$22:$AE$22,MATCH(AC$3,Scoreboard!$B$1:$AE$1,0)),""))</f>
        <v/>
      </c>
      <c r="AD13" s="11">
        <f>IF(OR($A13="",AD$3=""),"",IFERROR(INDEX(Scoreboard!$B$2:$AE$21,MATCH($A13,Scoreboard!$A$2:$A$21,0),MATCH(AD$3,Scoreboard!$B$1:$AE$1,0))-INDEX(Scoreboard!$B$22:$AE$22,MATCH(AD$3,Scoreboard!$B$1:$AE$1,0)),""))</f>
        <v/>
      </c>
      <c r="AE13" s="11">
        <f>IF(OR($A13="",AE$3=""),"",IFERROR(INDEX(Scoreboard!$B$2:$AE$21,MATCH($A13,Scoreboard!$A$2:$A$21,0),MATCH(AE$3,Scoreboard!$B$1:$AE$1,0))-INDEX(Scoreboard!$B$22:$AE$22,MATCH(AE$3,Scoreboard!$B$1:$AE$1,0)),""))</f>
        <v/>
      </c>
    </row>
    <row r="14">
      <c r="A14" s="5">
        <f>IFERROR(Config!A12,"")</f>
        <v/>
      </c>
      <c r="B14" s="11">
        <f>IF(OR($A14="",B$3=""),"",IFERROR(INDEX(Scoreboard!$B$2:$AE$21,MATCH($A14,Scoreboard!$A$2:$A$21,0),MATCH(B$3,Scoreboard!$B$1:$AE$1,0))-INDEX(Scoreboard!$B$22:$AE$22,MATCH(B$3,Scoreboard!$B$1:$AE$1,0)),""))</f>
        <v/>
      </c>
      <c r="C14" s="11">
        <f>IF(OR($A14="",C$3=""),"",IFERROR(INDEX(Scoreboard!$B$2:$AE$21,MATCH($A14,Scoreboard!$A$2:$A$21,0),MATCH(C$3,Scoreboard!$B$1:$AE$1,0))-INDEX(Scoreboard!$B$22:$AE$22,MATCH(C$3,Scoreboard!$B$1:$AE$1,0)),""))</f>
        <v/>
      </c>
      <c r="D14" s="11">
        <f>IF(OR($A14="",D$3=""),"",IFERROR(INDEX(Scoreboard!$B$2:$AE$21,MATCH($A14,Scoreboard!$A$2:$A$21,0),MATCH(D$3,Scoreboard!$B$1:$AE$1,0))-INDEX(Scoreboard!$B$22:$AE$22,MATCH(D$3,Scoreboard!$B$1:$AE$1,0)),""))</f>
        <v/>
      </c>
      <c r="E14" s="11">
        <f>IF(OR($A14="",E$3=""),"",IFERROR(INDEX(Scoreboard!$B$2:$AE$21,MATCH($A14,Scoreboard!$A$2:$A$21,0),MATCH(E$3,Scoreboard!$B$1:$AE$1,0))-INDEX(Scoreboard!$B$22:$AE$22,MATCH(E$3,Scoreboard!$B$1:$AE$1,0)),""))</f>
        <v/>
      </c>
      <c r="F14" s="11">
        <f>IF(OR($A14="",F$3=""),"",IFERROR(INDEX(Scoreboard!$B$2:$AE$21,MATCH($A14,Scoreboard!$A$2:$A$21,0),MATCH(F$3,Scoreboard!$B$1:$AE$1,0))-INDEX(Scoreboard!$B$22:$AE$22,MATCH(F$3,Scoreboard!$B$1:$AE$1,0)),""))</f>
        <v/>
      </c>
      <c r="G14" s="11">
        <f>IF(OR($A14="",G$3=""),"",IFERROR(INDEX(Scoreboard!$B$2:$AE$21,MATCH($A14,Scoreboard!$A$2:$A$21,0),MATCH(G$3,Scoreboard!$B$1:$AE$1,0))-INDEX(Scoreboard!$B$22:$AE$22,MATCH(G$3,Scoreboard!$B$1:$AE$1,0)),""))</f>
        <v/>
      </c>
      <c r="H14" s="11">
        <f>IF(OR($A14="",H$3=""),"",IFERROR(INDEX(Scoreboard!$B$2:$AE$21,MATCH($A14,Scoreboard!$A$2:$A$21,0),MATCH(H$3,Scoreboard!$B$1:$AE$1,0))-INDEX(Scoreboard!$B$22:$AE$22,MATCH(H$3,Scoreboard!$B$1:$AE$1,0)),""))</f>
        <v/>
      </c>
      <c r="I14" s="11">
        <f>IF(OR($A14="",I$3=""),"",IFERROR(INDEX(Scoreboard!$B$2:$AE$21,MATCH($A14,Scoreboard!$A$2:$A$21,0),MATCH(I$3,Scoreboard!$B$1:$AE$1,0))-INDEX(Scoreboard!$B$22:$AE$22,MATCH(I$3,Scoreboard!$B$1:$AE$1,0)),""))</f>
        <v/>
      </c>
      <c r="J14" s="11">
        <f>IF(OR($A14="",J$3=""),"",IFERROR(INDEX(Scoreboard!$B$2:$AE$21,MATCH($A14,Scoreboard!$A$2:$A$21,0),MATCH(J$3,Scoreboard!$B$1:$AE$1,0))-INDEX(Scoreboard!$B$22:$AE$22,MATCH(J$3,Scoreboard!$B$1:$AE$1,0)),""))</f>
        <v/>
      </c>
      <c r="K14" s="11">
        <f>IF(OR($A14="",K$3=""),"",IFERROR(INDEX(Scoreboard!$B$2:$AE$21,MATCH($A14,Scoreboard!$A$2:$A$21,0),MATCH(K$3,Scoreboard!$B$1:$AE$1,0))-INDEX(Scoreboard!$B$22:$AE$22,MATCH(K$3,Scoreboard!$B$1:$AE$1,0)),""))</f>
        <v/>
      </c>
      <c r="L14" s="11">
        <f>IF(OR($A14="",L$3=""),"",IFERROR(INDEX(Scoreboard!$B$2:$AE$21,MATCH($A14,Scoreboard!$A$2:$A$21,0),MATCH(L$3,Scoreboard!$B$1:$AE$1,0))-INDEX(Scoreboard!$B$22:$AE$22,MATCH(L$3,Scoreboard!$B$1:$AE$1,0)),""))</f>
        <v/>
      </c>
      <c r="M14" s="11">
        <f>IF(OR($A14="",M$3=""),"",IFERROR(INDEX(Scoreboard!$B$2:$AE$21,MATCH($A14,Scoreboard!$A$2:$A$21,0),MATCH(M$3,Scoreboard!$B$1:$AE$1,0))-INDEX(Scoreboard!$B$22:$AE$22,MATCH(M$3,Scoreboard!$B$1:$AE$1,0)),""))</f>
        <v/>
      </c>
      <c r="N14" s="11">
        <f>IF(OR($A14="",N$3=""),"",IFERROR(INDEX(Scoreboard!$B$2:$AE$21,MATCH($A14,Scoreboard!$A$2:$A$21,0),MATCH(N$3,Scoreboard!$B$1:$AE$1,0))-INDEX(Scoreboard!$B$22:$AE$22,MATCH(N$3,Scoreboard!$B$1:$AE$1,0)),""))</f>
        <v/>
      </c>
      <c r="O14" s="11">
        <f>IF(OR($A14="",O$3=""),"",IFERROR(INDEX(Scoreboard!$B$2:$AE$21,MATCH($A14,Scoreboard!$A$2:$A$21,0),MATCH(O$3,Scoreboard!$B$1:$AE$1,0))-INDEX(Scoreboard!$B$22:$AE$22,MATCH(O$3,Scoreboard!$B$1:$AE$1,0)),""))</f>
        <v/>
      </c>
      <c r="P14" s="11">
        <f>IF(OR($A14="",P$3=""),"",IFERROR(INDEX(Scoreboard!$B$2:$AE$21,MATCH($A14,Scoreboard!$A$2:$A$21,0),MATCH(P$3,Scoreboard!$B$1:$AE$1,0))-INDEX(Scoreboard!$B$22:$AE$22,MATCH(P$3,Scoreboard!$B$1:$AE$1,0)),""))</f>
        <v/>
      </c>
      <c r="Q14" s="11">
        <f>IF(OR($A14="",Q$3=""),"",IFERROR(INDEX(Scoreboard!$B$2:$AE$21,MATCH($A14,Scoreboard!$A$2:$A$21,0),MATCH(Q$3,Scoreboard!$B$1:$AE$1,0))-INDEX(Scoreboard!$B$22:$AE$22,MATCH(Q$3,Scoreboard!$B$1:$AE$1,0)),""))</f>
        <v/>
      </c>
      <c r="R14" s="11">
        <f>IF(OR($A14="",R$3=""),"",IFERROR(INDEX(Scoreboard!$B$2:$AE$21,MATCH($A14,Scoreboard!$A$2:$A$21,0),MATCH(R$3,Scoreboard!$B$1:$AE$1,0))-INDEX(Scoreboard!$B$22:$AE$22,MATCH(R$3,Scoreboard!$B$1:$AE$1,0)),""))</f>
        <v/>
      </c>
      <c r="S14" s="11">
        <f>IF(OR($A14="",S$3=""),"",IFERROR(INDEX(Scoreboard!$B$2:$AE$21,MATCH($A14,Scoreboard!$A$2:$A$21,0),MATCH(S$3,Scoreboard!$B$1:$AE$1,0))-INDEX(Scoreboard!$B$22:$AE$22,MATCH(S$3,Scoreboard!$B$1:$AE$1,0)),""))</f>
        <v/>
      </c>
      <c r="T14" s="11">
        <f>IF(OR($A14="",T$3=""),"",IFERROR(INDEX(Scoreboard!$B$2:$AE$21,MATCH($A14,Scoreboard!$A$2:$A$21,0),MATCH(T$3,Scoreboard!$B$1:$AE$1,0))-INDEX(Scoreboard!$B$22:$AE$22,MATCH(T$3,Scoreboard!$B$1:$AE$1,0)),""))</f>
        <v/>
      </c>
      <c r="U14" s="11">
        <f>IF(OR($A14="",U$3=""),"",IFERROR(INDEX(Scoreboard!$B$2:$AE$21,MATCH($A14,Scoreboard!$A$2:$A$21,0),MATCH(U$3,Scoreboard!$B$1:$AE$1,0))-INDEX(Scoreboard!$B$22:$AE$22,MATCH(U$3,Scoreboard!$B$1:$AE$1,0)),""))</f>
        <v/>
      </c>
      <c r="V14" s="11">
        <f>IF(OR($A14="",V$3=""),"",IFERROR(INDEX(Scoreboard!$B$2:$AE$21,MATCH($A14,Scoreboard!$A$2:$A$21,0),MATCH(V$3,Scoreboard!$B$1:$AE$1,0))-INDEX(Scoreboard!$B$22:$AE$22,MATCH(V$3,Scoreboard!$B$1:$AE$1,0)),""))</f>
        <v/>
      </c>
      <c r="W14" s="11">
        <f>IF(OR($A14="",W$3=""),"",IFERROR(INDEX(Scoreboard!$B$2:$AE$21,MATCH($A14,Scoreboard!$A$2:$A$21,0),MATCH(W$3,Scoreboard!$B$1:$AE$1,0))-INDEX(Scoreboard!$B$22:$AE$22,MATCH(W$3,Scoreboard!$B$1:$AE$1,0)),""))</f>
        <v/>
      </c>
      <c r="X14" s="11">
        <f>IF(OR($A14="",X$3=""),"",IFERROR(INDEX(Scoreboard!$B$2:$AE$21,MATCH($A14,Scoreboard!$A$2:$A$21,0),MATCH(X$3,Scoreboard!$B$1:$AE$1,0))-INDEX(Scoreboard!$B$22:$AE$22,MATCH(X$3,Scoreboard!$B$1:$AE$1,0)),""))</f>
        <v/>
      </c>
      <c r="Y14" s="11">
        <f>IF(OR($A14="",Y$3=""),"",IFERROR(INDEX(Scoreboard!$B$2:$AE$21,MATCH($A14,Scoreboard!$A$2:$A$21,0),MATCH(Y$3,Scoreboard!$B$1:$AE$1,0))-INDEX(Scoreboard!$B$22:$AE$22,MATCH(Y$3,Scoreboard!$B$1:$AE$1,0)),""))</f>
        <v/>
      </c>
      <c r="Z14" s="11">
        <f>IF(OR($A14="",Z$3=""),"",IFERROR(INDEX(Scoreboard!$B$2:$AE$21,MATCH($A14,Scoreboard!$A$2:$A$21,0),MATCH(Z$3,Scoreboard!$B$1:$AE$1,0))-INDEX(Scoreboard!$B$22:$AE$22,MATCH(Z$3,Scoreboard!$B$1:$AE$1,0)),""))</f>
        <v/>
      </c>
      <c r="AA14" s="11">
        <f>IF(OR($A14="",AA$3=""),"",IFERROR(INDEX(Scoreboard!$B$2:$AE$21,MATCH($A14,Scoreboard!$A$2:$A$21,0),MATCH(AA$3,Scoreboard!$B$1:$AE$1,0))-INDEX(Scoreboard!$B$22:$AE$22,MATCH(AA$3,Scoreboard!$B$1:$AE$1,0)),""))</f>
        <v/>
      </c>
      <c r="AB14" s="11">
        <f>IF(OR($A14="",AB$3=""),"",IFERROR(INDEX(Scoreboard!$B$2:$AE$21,MATCH($A14,Scoreboard!$A$2:$A$21,0),MATCH(AB$3,Scoreboard!$B$1:$AE$1,0))-INDEX(Scoreboard!$B$22:$AE$22,MATCH(AB$3,Scoreboard!$B$1:$AE$1,0)),""))</f>
        <v/>
      </c>
      <c r="AC14" s="11">
        <f>IF(OR($A14="",AC$3=""),"",IFERROR(INDEX(Scoreboard!$B$2:$AE$21,MATCH($A14,Scoreboard!$A$2:$A$21,0),MATCH(AC$3,Scoreboard!$B$1:$AE$1,0))-INDEX(Scoreboard!$B$22:$AE$22,MATCH(AC$3,Scoreboard!$B$1:$AE$1,0)),""))</f>
        <v/>
      </c>
      <c r="AD14" s="11">
        <f>IF(OR($A14="",AD$3=""),"",IFERROR(INDEX(Scoreboard!$B$2:$AE$21,MATCH($A14,Scoreboard!$A$2:$A$21,0),MATCH(AD$3,Scoreboard!$B$1:$AE$1,0))-INDEX(Scoreboard!$B$22:$AE$22,MATCH(AD$3,Scoreboard!$B$1:$AE$1,0)),""))</f>
        <v/>
      </c>
      <c r="AE14" s="11">
        <f>IF(OR($A14="",AE$3=""),"",IFERROR(INDEX(Scoreboard!$B$2:$AE$21,MATCH($A14,Scoreboard!$A$2:$A$21,0),MATCH(AE$3,Scoreboard!$B$1:$AE$1,0))-INDEX(Scoreboard!$B$22:$AE$22,MATCH(AE$3,Scoreboard!$B$1:$AE$1,0)),""))</f>
        <v/>
      </c>
    </row>
    <row r="15">
      <c r="A15" s="5">
        <f>IFERROR(Config!A13,"")</f>
        <v/>
      </c>
      <c r="B15" s="11">
        <f>IF(OR($A15="",B$3=""),"",IFERROR(INDEX(Scoreboard!$B$2:$AE$21,MATCH($A15,Scoreboard!$A$2:$A$21,0),MATCH(B$3,Scoreboard!$B$1:$AE$1,0))-INDEX(Scoreboard!$B$22:$AE$22,MATCH(B$3,Scoreboard!$B$1:$AE$1,0)),""))</f>
        <v/>
      </c>
      <c r="C15" s="11">
        <f>IF(OR($A15="",C$3=""),"",IFERROR(INDEX(Scoreboard!$B$2:$AE$21,MATCH($A15,Scoreboard!$A$2:$A$21,0),MATCH(C$3,Scoreboard!$B$1:$AE$1,0))-INDEX(Scoreboard!$B$22:$AE$22,MATCH(C$3,Scoreboard!$B$1:$AE$1,0)),""))</f>
        <v/>
      </c>
      <c r="D15" s="11">
        <f>IF(OR($A15="",D$3=""),"",IFERROR(INDEX(Scoreboard!$B$2:$AE$21,MATCH($A15,Scoreboard!$A$2:$A$21,0),MATCH(D$3,Scoreboard!$B$1:$AE$1,0))-INDEX(Scoreboard!$B$22:$AE$22,MATCH(D$3,Scoreboard!$B$1:$AE$1,0)),""))</f>
        <v/>
      </c>
      <c r="E15" s="11">
        <f>IF(OR($A15="",E$3=""),"",IFERROR(INDEX(Scoreboard!$B$2:$AE$21,MATCH($A15,Scoreboard!$A$2:$A$21,0),MATCH(E$3,Scoreboard!$B$1:$AE$1,0))-INDEX(Scoreboard!$B$22:$AE$22,MATCH(E$3,Scoreboard!$B$1:$AE$1,0)),""))</f>
        <v/>
      </c>
      <c r="F15" s="11">
        <f>IF(OR($A15="",F$3=""),"",IFERROR(INDEX(Scoreboard!$B$2:$AE$21,MATCH($A15,Scoreboard!$A$2:$A$21,0),MATCH(F$3,Scoreboard!$B$1:$AE$1,0))-INDEX(Scoreboard!$B$22:$AE$22,MATCH(F$3,Scoreboard!$B$1:$AE$1,0)),""))</f>
        <v/>
      </c>
      <c r="G15" s="11">
        <f>IF(OR($A15="",G$3=""),"",IFERROR(INDEX(Scoreboard!$B$2:$AE$21,MATCH($A15,Scoreboard!$A$2:$A$21,0),MATCH(G$3,Scoreboard!$B$1:$AE$1,0))-INDEX(Scoreboard!$B$22:$AE$22,MATCH(G$3,Scoreboard!$B$1:$AE$1,0)),""))</f>
        <v/>
      </c>
      <c r="H15" s="11">
        <f>IF(OR($A15="",H$3=""),"",IFERROR(INDEX(Scoreboard!$B$2:$AE$21,MATCH($A15,Scoreboard!$A$2:$A$21,0),MATCH(H$3,Scoreboard!$B$1:$AE$1,0))-INDEX(Scoreboard!$B$22:$AE$22,MATCH(H$3,Scoreboard!$B$1:$AE$1,0)),""))</f>
        <v/>
      </c>
      <c r="I15" s="11">
        <f>IF(OR($A15="",I$3=""),"",IFERROR(INDEX(Scoreboard!$B$2:$AE$21,MATCH($A15,Scoreboard!$A$2:$A$21,0),MATCH(I$3,Scoreboard!$B$1:$AE$1,0))-INDEX(Scoreboard!$B$22:$AE$22,MATCH(I$3,Scoreboard!$B$1:$AE$1,0)),""))</f>
        <v/>
      </c>
      <c r="J15" s="11">
        <f>IF(OR($A15="",J$3=""),"",IFERROR(INDEX(Scoreboard!$B$2:$AE$21,MATCH($A15,Scoreboard!$A$2:$A$21,0),MATCH(J$3,Scoreboard!$B$1:$AE$1,0))-INDEX(Scoreboard!$B$22:$AE$22,MATCH(J$3,Scoreboard!$B$1:$AE$1,0)),""))</f>
        <v/>
      </c>
      <c r="K15" s="11">
        <f>IF(OR($A15="",K$3=""),"",IFERROR(INDEX(Scoreboard!$B$2:$AE$21,MATCH($A15,Scoreboard!$A$2:$A$21,0),MATCH(K$3,Scoreboard!$B$1:$AE$1,0))-INDEX(Scoreboard!$B$22:$AE$22,MATCH(K$3,Scoreboard!$B$1:$AE$1,0)),""))</f>
        <v/>
      </c>
      <c r="L15" s="11">
        <f>IF(OR($A15="",L$3=""),"",IFERROR(INDEX(Scoreboard!$B$2:$AE$21,MATCH($A15,Scoreboard!$A$2:$A$21,0),MATCH(L$3,Scoreboard!$B$1:$AE$1,0))-INDEX(Scoreboard!$B$22:$AE$22,MATCH(L$3,Scoreboard!$B$1:$AE$1,0)),""))</f>
        <v/>
      </c>
      <c r="M15" s="11">
        <f>IF(OR($A15="",M$3=""),"",IFERROR(INDEX(Scoreboard!$B$2:$AE$21,MATCH($A15,Scoreboard!$A$2:$A$21,0),MATCH(M$3,Scoreboard!$B$1:$AE$1,0))-INDEX(Scoreboard!$B$22:$AE$22,MATCH(M$3,Scoreboard!$B$1:$AE$1,0)),""))</f>
        <v/>
      </c>
      <c r="N15" s="11">
        <f>IF(OR($A15="",N$3=""),"",IFERROR(INDEX(Scoreboard!$B$2:$AE$21,MATCH($A15,Scoreboard!$A$2:$A$21,0),MATCH(N$3,Scoreboard!$B$1:$AE$1,0))-INDEX(Scoreboard!$B$22:$AE$22,MATCH(N$3,Scoreboard!$B$1:$AE$1,0)),""))</f>
        <v/>
      </c>
      <c r="O15" s="11">
        <f>IF(OR($A15="",O$3=""),"",IFERROR(INDEX(Scoreboard!$B$2:$AE$21,MATCH($A15,Scoreboard!$A$2:$A$21,0),MATCH(O$3,Scoreboard!$B$1:$AE$1,0))-INDEX(Scoreboard!$B$22:$AE$22,MATCH(O$3,Scoreboard!$B$1:$AE$1,0)),""))</f>
        <v/>
      </c>
      <c r="P15" s="11">
        <f>IF(OR($A15="",P$3=""),"",IFERROR(INDEX(Scoreboard!$B$2:$AE$21,MATCH($A15,Scoreboard!$A$2:$A$21,0),MATCH(P$3,Scoreboard!$B$1:$AE$1,0))-INDEX(Scoreboard!$B$22:$AE$22,MATCH(P$3,Scoreboard!$B$1:$AE$1,0)),""))</f>
        <v/>
      </c>
      <c r="Q15" s="11">
        <f>IF(OR($A15="",Q$3=""),"",IFERROR(INDEX(Scoreboard!$B$2:$AE$21,MATCH($A15,Scoreboard!$A$2:$A$21,0),MATCH(Q$3,Scoreboard!$B$1:$AE$1,0))-INDEX(Scoreboard!$B$22:$AE$22,MATCH(Q$3,Scoreboard!$B$1:$AE$1,0)),""))</f>
        <v/>
      </c>
      <c r="R15" s="11">
        <f>IF(OR($A15="",R$3=""),"",IFERROR(INDEX(Scoreboard!$B$2:$AE$21,MATCH($A15,Scoreboard!$A$2:$A$21,0),MATCH(R$3,Scoreboard!$B$1:$AE$1,0))-INDEX(Scoreboard!$B$22:$AE$22,MATCH(R$3,Scoreboard!$B$1:$AE$1,0)),""))</f>
        <v/>
      </c>
      <c r="S15" s="11">
        <f>IF(OR($A15="",S$3=""),"",IFERROR(INDEX(Scoreboard!$B$2:$AE$21,MATCH($A15,Scoreboard!$A$2:$A$21,0),MATCH(S$3,Scoreboard!$B$1:$AE$1,0))-INDEX(Scoreboard!$B$22:$AE$22,MATCH(S$3,Scoreboard!$B$1:$AE$1,0)),""))</f>
        <v/>
      </c>
      <c r="T15" s="11">
        <f>IF(OR($A15="",T$3=""),"",IFERROR(INDEX(Scoreboard!$B$2:$AE$21,MATCH($A15,Scoreboard!$A$2:$A$21,0),MATCH(T$3,Scoreboard!$B$1:$AE$1,0))-INDEX(Scoreboard!$B$22:$AE$22,MATCH(T$3,Scoreboard!$B$1:$AE$1,0)),""))</f>
        <v/>
      </c>
      <c r="U15" s="11">
        <f>IF(OR($A15="",U$3=""),"",IFERROR(INDEX(Scoreboard!$B$2:$AE$21,MATCH($A15,Scoreboard!$A$2:$A$21,0),MATCH(U$3,Scoreboard!$B$1:$AE$1,0))-INDEX(Scoreboard!$B$22:$AE$22,MATCH(U$3,Scoreboard!$B$1:$AE$1,0)),""))</f>
        <v/>
      </c>
      <c r="V15" s="11">
        <f>IF(OR($A15="",V$3=""),"",IFERROR(INDEX(Scoreboard!$B$2:$AE$21,MATCH($A15,Scoreboard!$A$2:$A$21,0),MATCH(V$3,Scoreboard!$B$1:$AE$1,0))-INDEX(Scoreboard!$B$22:$AE$22,MATCH(V$3,Scoreboard!$B$1:$AE$1,0)),""))</f>
        <v/>
      </c>
      <c r="W15" s="11">
        <f>IF(OR($A15="",W$3=""),"",IFERROR(INDEX(Scoreboard!$B$2:$AE$21,MATCH($A15,Scoreboard!$A$2:$A$21,0),MATCH(W$3,Scoreboard!$B$1:$AE$1,0))-INDEX(Scoreboard!$B$22:$AE$22,MATCH(W$3,Scoreboard!$B$1:$AE$1,0)),""))</f>
        <v/>
      </c>
      <c r="X15" s="11">
        <f>IF(OR($A15="",X$3=""),"",IFERROR(INDEX(Scoreboard!$B$2:$AE$21,MATCH($A15,Scoreboard!$A$2:$A$21,0),MATCH(X$3,Scoreboard!$B$1:$AE$1,0))-INDEX(Scoreboard!$B$22:$AE$22,MATCH(X$3,Scoreboard!$B$1:$AE$1,0)),""))</f>
        <v/>
      </c>
      <c r="Y15" s="11">
        <f>IF(OR($A15="",Y$3=""),"",IFERROR(INDEX(Scoreboard!$B$2:$AE$21,MATCH($A15,Scoreboard!$A$2:$A$21,0),MATCH(Y$3,Scoreboard!$B$1:$AE$1,0))-INDEX(Scoreboard!$B$22:$AE$22,MATCH(Y$3,Scoreboard!$B$1:$AE$1,0)),""))</f>
        <v/>
      </c>
      <c r="Z15" s="11">
        <f>IF(OR($A15="",Z$3=""),"",IFERROR(INDEX(Scoreboard!$B$2:$AE$21,MATCH($A15,Scoreboard!$A$2:$A$21,0),MATCH(Z$3,Scoreboard!$B$1:$AE$1,0))-INDEX(Scoreboard!$B$22:$AE$22,MATCH(Z$3,Scoreboard!$B$1:$AE$1,0)),""))</f>
        <v/>
      </c>
      <c r="AA15" s="11">
        <f>IF(OR($A15="",AA$3=""),"",IFERROR(INDEX(Scoreboard!$B$2:$AE$21,MATCH($A15,Scoreboard!$A$2:$A$21,0),MATCH(AA$3,Scoreboard!$B$1:$AE$1,0))-INDEX(Scoreboard!$B$22:$AE$22,MATCH(AA$3,Scoreboard!$B$1:$AE$1,0)),""))</f>
        <v/>
      </c>
      <c r="AB15" s="11">
        <f>IF(OR($A15="",AB$3=""),"",IFERROR(INDEX(Scoreboard!$B$2:$AE$21,MATCH($A15,Scoreboard!$A$2:$A$21,0),MATCH(AB$3,Scoreboard!$B$1:$AE$1,0))-INDEX(Scoreboard!$B$22:$AE$22,MATCH(AB$3,Scoreboard!$B$1:$AE$1,0)),""))</f>
        <v/>
      </c>
      <c r="AC15" s="11">
        <f>IF(OR($A15="",AC$3=""),"",IFERROR(INDEX(Scoreboard!$B$2:$AE$21,MATCH($A15,Scoreboard!$A$2:$A$21,0),MATCH(AC$3,Scoreboard!$B$1:$AE$1,0))-INDEX(Scoreboard!$B$22:$AE$22,MATCH(AC$3,Scoreboard!$B$1:$AE$1,0)),""))</f>
        <v/>
      </c>
      <c r="AD15" s="11">
        <f>IF(OR($A15="",AD$3=""),"",IFERROR(INDEX(Scoreboard!$B$2:$AE$21,MATCH($A15,Scoreboard!$A$2:$A$21,0),MATCH(AD$3,Scoreboard!$B$1:$AE$1,0))-INDEX(Scoreboard!$B$22:$AE$22,MATCH(AD$3,Scoreboard!$B$1:$AE$1,0)),""))</f>
        <v/>
      </c>
      <c r="AE15" s="11">
        <f>IF(OR($A15="",AE$3=""),"",IFERROR(INDEX(Scoreboard!$B$2:$AE$21,MATCH($A15,Scoreboard!$A$2:$A$21,0),MATCH(AE$3,Scoreboard!$B$1:$AE$1,0))-INDEX(Scoreboard!$B$22:$AE$22,MATCH(AE$3,Scoreboard!$B$1:$AE$1,0)),""))</f>
        <v/>
      </c>
    </row>
    <row r="16">
      <c r="A16" s="5">
        <f>IFERROR(Config!A14,"")</f>
        <v/>
      </c>
      <c r="B16" s="11">
        <f>IF(OR($A16="",B$3=""),"",IFERROR(INDEX(Scoreboard!$B$2:$AE$21,MATCH($A16,Scoreboard!$A$2:$A$21,0),MATCH(B$3,Scoreboard!$B$1:$AE$1,0))-INDEX(Scoreboard!$B$22:$AE$22,MATCH(B$3,Scoreboard!$B$1:$AE$1,0)),""))</f>
        <v/>
      </c>
      <c r="C16" s="11">
        <f>IF(OR($A16="",C$3=""),"",IFERROR(INDEX(Scoreboard!$B$2:$AE$21,MATCH($A16,Scoreboard!$A$2:$A$21,0),MATCH(C$3,Scoreboard!$B$1:$AE$1,0))-INDEX(Scoreboard!$B$22:$AE$22,MATCH(C$3,Scoreboard!$B$1:$AE$1,0)),""))</f>
        <v/>
      </c>
      <c r="D16" s="11">
        <f>IF(OR($A16="",D$3=""),"",IFERROR(INDEX(Scoreboard!$B$2:$AE$21,MATCH($A16,Scoreboard!$A$2:$A$21,0),MATCH(D$3,Scoreboard!$B$1:$AE$1,0))-INDEX(Scoreboard!$B$22:$AE$22,MATCH(D$3,Scoreboard!$B$1:$AE$1,0)),""))</f>
        <v/>
      </c>
      <c r="E16" s="11">
        <f>IF(OR($A16="",E$3=""),"",IFERROR(INDEX(Scoreboard!$B$2:$AE$21,MATCH($A16,Scoreboard!$A$2:$A$21,0),MATCH(E$3,Scoreboard!$B$1:$AE$1,0))-INDEX(Scoreboard!$B$22:$AE$22,MATCH(E$3,Scoreboard!$B$1:$AE$1,0)),""))</f>
        <v/>
      </c>
      <c r="F16" s="11">
        <f>IF(OR($A16="",F$3=""),"",IFERROR(INDEX(Scoreboard!$B$2:$AE$21,MATCH($A16,Scoreboard!$A$2:$A$21,0),MATCH(F$3,Scoreboard!$B$1:$AE$1,0))-INDEX(Scoreboard!$B$22:$AE$22,MATCH(F$3,Scoreboard!$B$1:$AE$1,0)),""))</f>
        <v/>
      </c>
      <c r="G16" s="11">
        <f>IF(OR($A16="",G$3=""),"",IFERROR(INDEX(Scoreboard!$B$2:$AE$21,MATCH($A16,Scoreboard!$A$2:$A$21,0),MATCH(G$3,Scoreboard!$B$1:$AE$1,0))-INDEX(Scoreboard!$B$22:$AE$22,MATCH(G$3,Scoreboard!$B$1:$AE$1,0)),""))</f>
        <v/>
      </c>
      <c r="H16" s="11">
        <f>IF(OR($A16="",H$3=""),"",IFERROR(INDEX(Scoreboard!$B$2:$AE$21,MATCH($A16,Scoreboard!$A$2:$A$21,0),MATCH(H$3,Scoreboard!$B$1:$AE$1,0))-INDEX(Scoreboard!$B$22:$AE$22,MATCH(H$3,Scoreboard!$B$1:$AE$1,0)),""))</f>
        <v/>
      </c>
      <c r="I16" s="11">
        <f>IF(OR($A16="",I$3=""),"",IFERROR(INDEX(Scoreboard!$B$2:$AE$21,MATCH($A16,Scoreboard!$A$2:$A$21,0),MATCH(I$3,Scoreboard!$B$1:$AE$1,0))-INDEX(Scoreboard!$B$22:$AE$22,MATCH(I$3,Scoreboard!$B$1:$AE$1,0)),""))</f>
        <v/>
      </c>
      <c r="J16" s="11">
        <f>IF(OR($A16="",J$3=""),"",IFERROR(INDEX(Scoreboard!$B$2:$AE$21,MATCH($A16,Scoreboard!$A$2:$A$21,0),MATCH(J$3,Scoreboard!$B$1:$AE$1,0))-INDEX(Scoreboard!$B$22:$AE$22,MATCH(J$3,Scoreboard!$B$1:$AE$1,0)),""))</f>
        <v/>
      </c>
      <c r="K16" s="11">
        <f>IF(OR($A16="",K$3=""),"",IFERROR(INDEX(Scoreboard!$B$2:$AE$21,MATCH($A16,Scoreboard!$A$2:$A$21,0),MATCH(K$3,Scoreboard!$B$1:$AE$1,0))-INDEX(Scoreboard!$B$22:$AE$22,MATCH(K$3,Scoreboard!$B$1:$AE$1,0)),""))</f>
        <v/>
      </c>
      <c r="L16" s="11">
        <f>IF(OR($A16="",L$3=""),"",IFERROR(INDEX(Scoreboard!$B$2:$AE$21,MATCH($A16,Scoreboard!$A$2:$A$21,0),MATCH(L$3,Scoreboard!$B$1:$AE$1,0))-INDEX(Scoreboard!$B$22:$AE$22,MATCH(L$3,Scoreboard!$B$1:$AE$1,0)),""))</f>
        <v/>
      </c>
      <c r="M16" s="11">
        <f>IF(OR($A16="",M$3=""),"",IFERROR(INDEX(Scoreboard!$B$2:$AE$21,MATCH($A16,Scoreboard!$A$2:$A$21,0),MATCH(M$3,Scoreboard!$B$1:$AE$1,0))-INDEX(Scoreboard!$B$22:$AE$22,MATCH(M$3,Scoreboard!$B$1:$AE$1,0)),""))</f>
        <v/>
      </c>
      <c r="N16" s="11">
        <f>IF(OR($A16="",N$3=""),"",IFERROR(INDEX(Scoreboard!$B$2:$AE$21,MATCH($A16,Scoreboard!$A$2:$A$21,0),MATCH(N$3,Scoreboard!$B$1:$AE$1,0))-INDEX(Scoreboard!$B$22:$AE$22,MATCH(N$3,Scoreboard!$B$1:$AE$1,0)),""))</f>
        <v/>
      </c>
      <c r="O16" s="11">
        <f>IF(OR($A16="",O$3=""),"",IFERROR(INDEX(Scoreboard!$B$2:$AE$21,MATCH($A16,Scoreboard!$A$2:$A$21,0),MATCH(O$3,Scoreboard!$B$1:$AE$1,0))-INDEX(Scoreboard!$B$22:$AE$22,MATCH(O$3,Scoreboard!$B$1:$AE$1,0)),""))</f>
        <v/>
      </c>
      <c r="P16" s="11">
        <f>IF(OR($A16="",P$3=""),"",IFERROR(INDEX(Scoreboard!$B$2:$AE$21,MATCH($A16,Scoreboard!$A$2:$A$21,0),MATCH(P$3,Scoreboard!$B$1:$AE$1,0))-INDEX(Scoreboard!$B$22:$AE$22,MATCH(P$3,Scoreboard!$B$1:$AE$1,0)),""))</f>
        <v/>
      </c>
      <c r="Q16" s="11">
        <f>IF(OR($A16="",Q$3=""),"",IFERROR(INDEX(Scoreboard!$B$2:$AE$21,MATCH($A16,Scoreboard!$A$2:$A$21,0),MATCH(Q$3,Scoreboard!$B$1:$AE$1,0))-INDEX(Scoreboard!$B$22:$AE$22,MATCH(Q$3,Scoreboard!$B$1:$AE$1,0)),""))</f>
        <v/>
      </c>
      <c r="R16" s="11">
        <f>IF(OR($A16="",R$3=""),"",IFERROR(INDEX(Scoreboard!$B$2:$AE$21,MATCH($A16,Scoreboard!$A$2:$A$21,0),MATCH(R$3,Scoreboard!$B$1:$AE$1,0))-INDEX(Scoreboard!$B$22:$AE$22,MATCH(R$3,Scoreboard!$B$1:$AE$1,0)),""))</f>
        <v/>
      </c>
      <c r="S16" s="11">
        <f>IF(OR($A16="",S$3=""),"",IFERROR(INDEX(Scoreboard!$B$2:$AE$21,MATCH($A16,Scoreboard!$A$2:$A$21,0),MATCH(S$3,Scoreboard!$B$1:$AE$1,0))-INDEX(Scoreboard!$B$22:$AE$22,MATCH(S$3,Scoreboard!$B$1:$AE$1,0)),""))</f>
        <v/>
      </c>
      <c r="T16" s="11">
        <f>IF(OR($A16="",T$3=""),"",IFERROR(INDEX(Scoreboard!$B$2:$AE$21,MATCH($A16,Scoreboard!$A$2:$A$21,0),MATCH(T$3,Scoreboard!$B$1:$AE$1,0))-INDEX(Scoreboard!$B$22:$AE$22,MATCH(T$3,Scoreboard!$B$1:$AE$1,0)),""))</f>
        <v/>
      </c>
      <c r="U16" s="11">
        <f>IF(OR($A16="",U$3=""),"",IFERROR(INDEX(Scoreboard!$B$2:$AE$21,MATCH($A16,Scoreboard!$A$2:$A$21,0),MATCH(U$3,Scoreboard!$B$1:$AE$1,0))-INDEX(Scoreboard!$B$22:$AE$22,MATCH(U$3,Scoreboard!$B$1:$AE$1,0)),""))</f>
        <v/>
      </c>
      <c r="V16" s="11">
        <f>IF(OR($A16="",V$3=""),"",IFERROR(INDEX(Scoreboard!$B$2:$AE$21,MATCH($A16,Scoreboard!$A$2:$A$21,0),MATCH(V$3,Scoreboard!$B$1:$AE$1,0))-INDEX(Scoreboard!$B$22:$AE$22,MATCH(V$3,Scoreboard!$B$1:$AE$1,0)),""))</f>
        <v/>
      </c>
      <c r="W16" s="11">
        <f>IF(OR($A16="",W$3=""),"",IFERROR(INDEX(Scoreboard!$B$2:$AE$21,MATCH($A16,Scoreboard!$A$2:$A$21,0),MATCH(W$3,Scoreboard!$B$1:$AE$1,0))-INDEX(Scoreboard!$B$22:$AE$22,MATCH(W$3,Scoreboard!$B$1:$AE$1,0)),""))</f>
        <v/>
      </c>
      <c r="X16" s="11">
        <f>IF(OR($A16="",X$3=""),"",IFERROR(INDEX(Scoreboard!$B$2:$AE$21,MATCH($A16,Scoreboard!$A$2:$A$21,0),MATCH(X$3,Scoreboard!$B$1:$AE$1,0))-INDEX(Scoreboard!$B$22:$AE$22,MATCH(X$3,Scoreboard!$B$1:$AE$1,0)),""))</f>
        <v/>
      </c>
      <c r="Y16" s="11">
        <f>IF(OR($A16="",Y$3=""),"",IFERROR(INDEX(Scoreboard!$B$2:$AE$21,MATCH($A16,Scoreboard!$A$2:$A$21,0),MATCH(Y$3,Scoreboard!$B$1:$AE$1,0))-INDEX(Scoreboard!$B$22:$AE$22,MATCH(Y$3,Scoreboard!$B$1:$AE$1,0)),""))</f>
        <v/>
      </c>
      <c r="Z16" s="11">
        <f>IF(OR($A16="",Z$3=""),"",IFERROR(INDEX(Scoreboard!$B$2:$AE$21,MATCH($A16,Scoreboard!$A$2:$A$21,0),MATCH(Z$3,Scoreboard!$B$1:$AE$1,0))-INDEX(Scoreboard!$B$22:$AE$22,MATCH(Z$3,Scoreboard!$B$1:$AE$1,0)),""))</f>
        <v/>
      </c>
      <c r="AA16" s="11">
        <f>IF(OR($A16="",AA$3=""),"",IFERROR(INDEX(Scoreboard!$B$2:$AE$21,MATCH($A16,Scoreboard!$A$2:$A$21,0),MATCH(AA$3,Scoreboard!$B$1:$AE$1,0))-INDEX(Scoreboard!$B$22:$AE$22,MATCH(AA$3,Scoreboard!$B$1:$AE$1,0)),""))</f>
        <v/>
      </c>
      <c r="AB16" s="11">
        <f>IF(OR($A16="",AB$3=""),"",IFERROR(INDEX(Scoreboard!$B$2:$AE$21,MATCH($A16,Scoreboard!$A$2:$A$21,0),MATCH(AB$3,Scoreboard!$B$1:$AE$1,0))-INDEX(Scoreboard!$B$22:$AE$22,MATCH(AB$3,Scoreboard!$B$1:$AE$1,0)),""))</f>
        <v/>
      </c>
      <c r="AC16" s="11">
        <f>IF(OR($A16="",AC$3=""),"",IFERROR(INDEX(Scoreboard!$B$2:$AE$21,MATCH($A16,Scoreboard!$A$2:$A$21,0),MATCH(AC$3,Scoreboard!$B$1:$AE$1,0))-INDEX(Scoreboard!$B$22:$AE$22,MATCH(AC$3,Scoreboard!$B$1:$AE$1,0)),""))</f>
        <v/>
      </c>
      <c r="AD16" s="11">
        <f>IF(OR($A16="",AD$3=""),"",IFERROR(INDEX(Scoreboard!$B$2:$AE$21,MATCH($A16,Scoreboard!$A$2:$A$21,0),MATCH(AD$3,Scoreboard!$B$1:$AE$1,0))-INDEX(Scoreboard!$B$22:$AE$22,MATCH(AD$3,Scoreboard!$B$1:$AE$1,0)),""))</f>
        <v/>
      </c>
      <c r="AE16" s="11">
        <f>IF(OR($A16="",AE$3=""),"",IFERROR(INDEX(Scoreboard!$B$2:$AE$21,MATCH($A16,Scoreboard!$A$2:$A$21,0),MATCH(AE$3,Scoreboard!$B$1:$AE$1,0))-INDEX(Scoreboard!$B$22:$AE$22,MATCH(AE$3,Scoreboard!$B$1:$AE$1,0)),""))</f>
        <v/>
      </c>
    </row>
    <row r="17">
      <c r="A17" s="5">
        <f>IFERROR(Config!A15,"")</f>
        <v/>
      </c>
      <c r="B17" s="11">
        <f>IF(OR($A17="",B$3=""),"",IFERROR(INDEX(Scoreboard!$B$2:$AE$21,MATCH($A17,Scoreboard!$A$2:$A$21,0),MATCH(B$3,Scoreboard!$B$1:$AE$1,0))-INDEX(Scoreboard!$B$22:$AE$22,MATCH(B$3,Scoreboard!$B$1:$AE$1,0)),""))</f>
        <v/>
      </c>
      <c r="C17" s="11">
        <f>IF(OR($A17="",C$3=""),"",IFERROR(INDEX(Scoreboard!$B$2:$AE$21,MATCH($A17,Scoreboard!$A$2:$A$21,0),MATCH(C$3,Scoreboard!$B$1:$AE$1,0))-INDEX(Scoreboard!$B$22:$AE$22,MATCH(C$3,Scoreboard!$B$1:$AE$1,0)),""))</f>
        <v/>
      </c>
      <c r="D17" s="11">
        <f>IF(OR($A17="",D$3=""),"",IFERROR(INDEX(Scoreboard!$B$2:$AE$21,MATCH($A17,Scoreboard!$A$2:$A$21,0),MATCH(D$3,Scoreboard!$B$1:$AE$1,0))-INDEX(Scoreboard!$B$22:$AE$22,MATCH(D$3,Scoreboard!$B$1:$AE$1,0)),""))</f>
        <v/>
      </c>
      <c r="E17" s="11">
        <f>IF(OR($A17="",E$3=""),"",IFERROR(INDEX(Scoreboard!$B$2:$AE$21,MATCH($A17,Scoreboard!$A$2:$A$21,0),MATCH(E$3,Scoreboard!$B$1:$AE$1,0))-INDEX(Scoreboard!$B$22:$AE$22,MATCH(E$3,Scoreboard!$B$1:$AE$1,0)),""))</f>
        <v/>
      </c>
      <c r="F17" s="11">
        <f>IF(OR($A17="",F$3=""),"",IFERROR(INDEX(Scoreboard!$B$2:$AE$21,MATCH($A17,Scoreboard!$A$2:$A$21,0),MATCH(F$3,Scoreboard!$B$1:$AE$1,0))-INDEX(Scoreboard!$B$22:$AE$22,MATCH(F$3,Scoreboard!$B$1:$AE$1,0)),""))</f>
        <v/>
      </c>
      <c r="G17" s="11">
        <f>IF(OR($A17="",G$3=""),"",IFERROR(INDEX(Scoreboard!$B$2:$AE$21,MATCH($A17,Scoreboard!$A$2:$A$21,0),MATCH(G$3,Scoreboard!$B$1:$AE$1,0))-INDEX(Scoreboard!$B$22:$AE$22,MATCH(G$3,Scoreboard!$B$1:$AE$1,0)),""))</f>
        <v/>
      </c>
      <c r="H17" s="11">
        <f>IF(OR($A17="",H$3=""),"",IFERROR(INDEX(Scoreboard!$B$2:$AE$21,MATCH($A17,Scoreboard!$A$2:$A$21,0),MATCH(H$3,Scoreboard!$B$1:$AE$1,0))-INDEX(Scoreboard!$B$22:$AE$22,MATCH(H$3,Scoreboard!$B$1:$AE$1,0)),""))</f>
        <v/>
      </c>
      <c r="I17" s="11">
        <f>IF(OR($A17="",I$3=""),"",IFERROR(INDEX(Scoreboard!$B$2:$AE$21,MATCH($A17,Scoreboard!$A$2:$A$21,0),MATCH(I$3,Scoreboard!$B$1:$AE$1,0))-INDEX(Scoreboard!$B$22:$AE$22,MATCH(I$3,Scoreboard!$B$1:$AE$1,0)),""))</f>
        <v/>
      </c>
      <c r="J17" s="11">
        <f>IF(OR($A17="",J$3=""),"",IFERROR(INDEX(Scoreboard!$B$2:$AE$21,MATCH($A17,Scoreboard!$A$2:$A$21,0),MATCH(J$3,Scoreboard!$B$1:$AE$1,0))-INDEX(Scoreboard!$B$22:$AE$22,MATCH(J$3,Scoreboard!$B$1:$AE$1,0)),""))</f>
        <v/>
      </c>
      <c r="K17" s="11">
        <f>IF(OR($A17="",K$3=""),"",IFERROR(INDEX(Scoreboard!$B$2:$AE$21,MATCH($A17,Scoreboard!$A$2:$A$21,0),MATCH(K$3,Scoreboard!$B$1:$AE$1,0))-INDEX(Scoreboard!$B$22:$AE$22,MATCH(K$3,Scoreboard!$B$1:$AE$1,0)),""))</f>
        <v/>
      </c>
      <c r="L17" s="11">
        <f>IF(OR($A17="",L$3=""),"",IFERROR(INDEX(Scoreboard!$B$2:$AE$21,MATCH($A17,Scoreboard!$A$2:$A$21,0),MATCH(L$3,Scoreboard!$B$1:$AE$1,0))-INDEX(Scoreboard!$B$22:$AE$22,MATCH(L$3,Scoreboard!$B$1:$AE$1,0)),""))</f>
        <v/>
      </c>
      <c r="M17" s="11">
        <f>IF(OR($A17="",M$3=""),"",IFERROR(INDEX(Scoreboard!$B$2:$AE$21,MATCH($A17,Scoreboard!$A$2:$A$21,0),MATCH(M$3,Scoreboard!$B$1:$AE$1,0))-INDEX(Scoreboard!$B$22:$AE$22,MATCH(M$3,Scoreboard!$B$1:$AE$1,0)),""))</f>
        <v/>
      </c>
      <c r="N17" s="11">
        <f>IF(OR($A17="",N$3=""),"",IFERROR(INDEX(Scoreboard!$B$2:$AE$21,MATCH($A17,Scoreboard!$A$2:$A$21,0),MATCH(N$3,Scoreboard!$B$1:$AE$1,0))-INDEX(Scoreboard!$B$22:$AE$22,MATCH(N$3,Scoreboard!$B$1:$AE$1,0)),""))</f>
        <v/>
      </c>
      <c r="O17" s="11">
        <f>IF(OR($A17="",O$3=""),"",IFERROR(INDEX(Scoreboard!$B$2:$AE$21,MATCH($A17,Scoreboard!$A$2:$A$21,0),MATCH(O$3,Scoreboard!$B$1:$AE$1,0))-INDEX(Scoreboard!$B$22:$AE$22,MATCH(O$3,Scoreboard!$B$1:$AE$1,0)),""))</f>
        <v/>
      </c>
      <c r="P17" s="11">
        <f>IF(OR($A17="",P$3=""),"",IFERROR(INDEX(Scoreboard!$B$2:$AE$21,MATCH($A17,Scoreboard!$A$2:$A$21,0),MATCH(P$3,Scoreboard!$B$1:$AE$1,0))-INDEX(Scoreboard!$B$22:$AE$22,MATCH(P$3,Scoreboard!$B$1:$AE$1,0)),""))</f>
        <v/>
      </c>
      <c r="Q17" s="11">
        <f>IF(OR($A17="",Q$3=""),"",IFERROR(INDEX(Scoreboard!$B$2:$AE$21,MATCH($A17,Scoreboard!$A$2:$A$21,0),MATCH(Q$3,Scoreboard!$B$1:$AE$1,0))-INDEX(Scoreboard!$B$22:$AE$22,MATCH(Q$3,Scoreboard!$B$1:$AE$1,0)),""))</f>
        <v/>
      </c>
      <c r="R17" s="11">
        <f>IF(OR($A17="",R$3=""),"",IFERROR(INDEX(Scoreboard!$B$2:$AE$21,MATCH($A17,Scoreboard!$A$2:$A$21,0),MATCH(R$3,Scoreboard!$B$1:$AE$1,0))-INDEX(Scoreboard!$B$22:$AE$22,MATCH(R$3,Scoreboard!$B$1:$AE$1,0)),""))</f>
        <v/>
      </c>
      <c r="S17" s="11">
        <f>IF(OR($A17="",S$3=""),"",IFERROR(INDEX(Scoreboard!$B$2:$AE$21,MATCH($A17,Scoreboard!$A$2:$A$21,0),MATCH(S$3,Scoreboard!$B$1:$AE$1,0))-INDEX(Scoreboard!$B$22:$AE$22,MATCH(S$3,Scoreboard!$B$1:$AE$1,0)),""))</f>
        <v/>
      </c>
      <c r="T17" s="11">
        <f>IF(OR($A17="",T$3=""),"",IFERROR(INDEX(Scoreboard!$B$2:$AE$21,MATCH($A17,Scoreboard!$A$2:$A$21,0),MATCH(T$3,Scoreboard!$B$1:$AE$1,0))-INDEX(Scoreboard!$B$22:$AE$22,MATCH(T$3,Scoreboard!$B$1:$AE$1,0)),""))</f>
        <v/>
      </c>
      <c r="U17" s="11">
        <f>IF(OR($A17="",U$3=""),"",IFERROR(INDEX(Scoreboard!$B$2:$AE$21,MATCH($A17,Scoreboard!$A$2:$A$21,0),MATCH(U$3,Scoreboard!$B$1:$AE$1,0))-INDEX(Scoreboard!$B$22:$AE$22,MATCH(U$3,Scoreboard!$B$1:$AE$1,0)),""))</f>
        <v/>
      </c>
      <c r="V17" s="11">
        <f>IF(OR($A17="",V$3=""),"",IFERROR(INDEX(Scoreboard!$B$2:$AE$21,MATCH($A17,Scoreboard!$A$2:$A$21,0),MATCH(V$3,Scoreboard!$B$1:$AE$1,0))-INDEX(Scoreboard!$B$22:$AE$22,MATCH(V$3,Scoreboard!$B$1:$AE$1,0)),""))</f>
        <v/>
      </c>
      <c r="W17" s="11">
        <f>IF(OR($A17="",W$3=""),"",IFERROR(INDEX(Scoreboard!$B$2:$AE$21,MATCH($A17,Scoreboard!$A$2:$A$21,0),MATCH(W$3,Scoreboard!$B$1:$AE$1,0))-INDEX(Scoreboard!$B$22:$AE$22,MATCH(W$3,Scoreboard!$B$1:$AE$1,0)),""))</f>
        <v/>
      </c>
      <c r="X17" s="11">
        <f>IF(OR($A17="",X$3=""),"",IFERROR(INDEX(Scoreboard!$B$2:$AE$21,MATCH($A17,Scoreboard!$A$2:$A$21,0),MATCH(X$3,Scoreboard!$B$1:$AE$1,0))-INDEX(Scoreboard!$B$22:$AE$22,MATCH(X$3,Scoreboard!$B$1:$AE$1,0)),""))</f>
        <v/>
      </c>
      <c r="Y17" s="11">
        <f>IF(OR($A17="",Y$3=""),"",IFERROR(INDEX(Scoreboard!$B$2:$AE$21,MATCH($A17,Scoreboard!$A$2:$A$21,0),MATCH(Y$3,Scoreboard!$B$1:$AE$1,0))-INDEX(Scoreboard!$B$22:$AE$22,MATCH(Y$3,Scoreboard!$B$1:$AE$1,0)),""))</f>
        <v/>
      </c>
      <c r="Z17" s="11">
        <f>IF(OR($A17="",Z$3=""),"",IFERROR(INDEX(Scoreboard!$B$2:$AE$21,MATCH($A17,Scoreboard!$A$2:$A$21,0),MATCH(Z$3,Scoreboard!$B$1:$AE$1,0))-INDEX(Scoreboard!$B$22:$AE$22,MATCH(Z$3,Scoreboard!$B$1:$AE$1,0)),""))</f>
        <v/>
      </c>
      <c r="AA17" s="11">
        <f>IF(OR($A17="",AA$3=""),"",IFERROR(INDEX(Scoreboard!$B$2:$AE$21,MATCH($A17,Scoreboard!$A$2:$A$21,0),MATCH(AA$3,Scoreboard!$B$1:$AE$1,0))-INDEX(Scoreboard!$B$22:$AE$22,MATCH(AA$3,Scoreboard!$B$1:$AE$1,0)),""))</f>
        <v/>
      </c>
      <c r="AB17" s="11">
        <f>IF(OR($A17="",AB$3=""),"",IFERROR(INDEX(Scoreboard!$B$2:$AE$21,MATCH($A17,Scoreboard!$A$2:$A$21,0),MATCH(AB$3,Scoreboard!$B$1:$AE$1,0))-INDEX(Scoreboard!$B$22:$AE$22,MATCH(AB$3,Scoreboard!$B$1:$AE$1,0)),""))</f>
        <v/>
      </c>
      <c r="AC17" s="11">
        <f>IF(OR($A17="",AC$3=""),"",IFERROR(INDEX(Scoreboard!$B$2:$AE$21,MATCH($A17,Scoreboard!$A$2:$A$21,0),MATCH(AC$3,Scoreboard!$B$1:$AE$1,0))-INDEX(Scoreboard!$B$22:$AE$22,MATCH(AC$3,Scoreboard!$B$1:$AE$1,0)),""))</f>
        <v/>
      </c>
      <c r="AD17" s="11">
        <f>IF(OR($A17="",AD$3=""),"",IFERROR(INDEX(Scoreboard!$B$2:$AE$21,MATCH($A17,Scoreboard!$A$2:$A$21,0),MATCH(AD$3,Scoreboard!$B$1:$AE$1,0))-INDEX(Scoreboard!$B$22:$AE$22,MATCH(AD$3,Scoreboard!$B$1:$AE$1,0)),""))</f>
        <v/>
      </c>
      <c r="AE17" s="11">
        <f>IF(OR($A17="",AE$3=""),"",IFERROR(INDEX(Scoreboard!$B$2:$AE$21,MATCH($A17,Scoreboard!$A$2:$A$21,0),MATCH(AE$3,Scoreboard!$B$1:$AE$1,0))-INDEX(Scoreboard!$B$22:$AE$22,MATCH(AE$3,Scoreboard!$B$1:$AE$1,0)),""))</f>
        <v/>
      </c>
    </row>
    <row r="18">
      <c r="A18" s="5">
        <f>IFERROR(Config!A16,"")</f>
        <v/>
      </c>
      <c r="B18" s="11">
        <f>IF(OR($A18="",B$3=""),"",IFERROR(INDEX(Scoreboard!$B$2:$AE$21,MATCH($A18,Scoreboard!$A$2:$A$21,0),MATCH(B$3,Scoreboard!$B$1:$AE$1,0))-INDEX(Scoreboard!$B$22:$AE$22,MATCH(B$3,Scoreboard!$B$1:$AE$1,0)),""))</f>
        <v/>
      </c>
      <c r="C18" s="11">
        <f>IF(OR($A18="",C$3=""),"",IFERROR(INDEX(Scoreboard!$B$2:$AE$21,MATCH($A18,Scoreboard!$A$2:$A$21,0),MATCH(C$3,Scoreboard!$B$1:$AE$1,0))-INDEX(Scoreboard!$B$22:$AE$22,MATCH(C$3,Scoreboard!$B$1:$AE$1,0)),""))</f>
        <v/>
      </c>
      <c r="D18" s="11">
        <f>IF(OR($A18="",D$3=""),"",IFERROR(INDEX(Scoreboard!$B$2:$AE$21,MATCH($A18,Scoreboard!$A$2:$A$21,0),MATCH(D$3,Scoreboard!$B$1:$AE$1,0))-INDEX(Scoreboard!$B$22:$AE$22,MATCH(D$3,Scoreboard!$B$1:$AE$1,0)),""))</f>
        <v/>
      </c>
      <c r="E18" s="11">
        <f>IF(OR($A18="",E$3=""),"",IFERROR(INDEX(Scoreboard!$B$2:$AE$21,MATCH($A18,Scoreboard!$A$2:$A$21,0),MATCH(E$3,Scoreboard!$B$1:$AE$1,0))-INDEX(Scoreboard!$B$22:$AE$22,MATCH(E$3,Scoreboard!$B$1:$AE$1,0)),""))</f>
        <v/>
      </c>
      <c r="F18" s="11">
        <f>IF(OR($A18="",F$3=""),"",IFERROR(INDEX(Scoreboard!$B$2:$AE$21,MATCH($A18,Scoreboard!$A$2:$A$21,0),MATCH(F$3,Scoreboard!$B$1:$AE$1,0))-INDEX(Scoreboard!$B$22:$AE$22,MATCH(F$3,Scoreboard!$B$1:$AE$1,0)),""))</f>
        <v/>
      </c>
      <c r="G18" s="11">
        <f>IF(OR($A18="",G$3=""),"",IFERROR(INDEX(Scoreboard!$B$2:$AE$21,MATCH($A18,Scoreboard!$A$2:$A$21,0),MATCH(G$3,Scoreboard!$B$1:$AE$1,0))-INDEX(Scoreboard!$B$22:$AE$22,MATCH(G$3,Scoreboard!$B$1:$AE$1,0)),""))</f>
        <v/>
      </c>
      <c r="H18" s="11">
        <f>IF(OR($A18="",H$3=""),"",IFERROR(INDEX(Scoreboard!$B$2:$AE$21,MATCH($A18,Scoreboard!$A$2:$A$21,0),MATCH(H$3,Scoreboard!$B$1:$AE$1,0))-INDEX(Scoreboard!$B$22:$AE$22,MATCH(H$3,Scoreboard!$B$1:$AE$1,0)),""))</f>
        <v/>
      </c>
      <c r="I18" s="11">
        <f>IF(OR($A18="",I$3=""),"",IFERROR(INDEX(Scoreboard!$B$2:$AE$21,MATCH($A18,Scoreboard!$A$2:$A$21,0),MATCH(I$3,Scoreboard!$B$1:$AE$1,0))-INDEX(Scoreboard!$B$22:$AE$22,MATCH(I$3,Scoreboard!$B$1:$AE$1,0)),""))</f>
        <v/>
      </c>
      <c r="J18" s="11">
        <f>IF(OR($A18="",J$3=""),"",IFERROR(INDEX(Scoreboard!$B$2:$AE$21,MATCH($A18,Scoreboard!$A$2:$A$21,0),MATCH(J$3,Scoreboard!$B$1:$AE$1,0))-INDEX(Scoreboard!$B$22:$AE$22,MATCH(J$3,Scoreboard!$B$1:$AE$1,0)),""))</f>
        <v/>
      </c>
      <c r="K18" s="11">
        <f>IF(OR($A18="",K$3=""),"",IFERROR(INDEX(Scoreboard!$B$2:$AE$21,MATCH($A18,Scoreboard!$A$2:$A$21,0),MATCH(K$3,Scoreboard!$B$1:$AE$1,0))-INDEX(Scoreboard!$B$22:$AE$22,MATCH(K$3,Scoreboard!$B$1:$AE$1,0)),""))</f>
        <v/>
      </c>
      <c r="L18" s="11">
        <f>IF(OR($A18="",L$3=""),"",IFERROR(INDEX(Scoreboard!$B$2:$AE$21,MATCH($A18,Scoreboard!$A$2:$A$21,0),MATCH(L$3,Scoreboard!$B$1:$AE$1,0))-INDEX(Scoreboard!$B$22:$AE$22,MATCH(L$3,Scoreboard!$B$1:$AE$1,0)),""))</f>
        <v/>
      </c>
      <c r="M18" s="11">
        <f>IF(OR($A18="",M$3=""),"",IFERROR(INDEX(Scoreboard!$B$2:$AE$21,MATCH($A18,Scoreboard!$A$2:$A$21,0),MATCH(M$3,Scoreboard!$B$1:$AE$1,0))-INDEX(Scoreboard!$B$22:$AE$22,MATCH(M$3,Scoreboard!$B$1:$AE$1,0)),""))</f>
        <v/>
      </c>
      <c r="N18" s="11">
        <f>IF(OR($A18="",N$3=""),"",IFERROR(INDEX(Scoreboard!$B$2:$AE$21,MATCH($A18,Scoreboard!$A$2:$A$21,0),MATCH(N$3,Scoreboard!$B$1:$AE$1,0))-INDEX(Scoreboard!$B$22:$AE$22,MATCH(N$3,Scoreboard!$B$1:$AE$1,0)),""))</f>
        <v/>
      </c>
      <c r="O18" s="11">
        <f>IF(OR($A18="",O$3=""),"",IFERROR(INDEX(Scoreboard!$B$2:$AE$21,MATCH($A18,Scoreboard!$A$2:$A$21,0),MATCH(O$3,Scoreboard!$B$1:$AE$1,0))-INDEX(Scoreboard!$B$22:$AE$22,MATCH(O$3,Scoreboard!$B$1:$AE$1,0)),""))</f>
        <v/>
      </c>
      <c r="P18" s="11">
        <f>IF(OR($A18="",P$3=""),"",IFERROR(INDEX(Scoreboard!$B$2:$AE$21,MATCH($A18,Scoreboard!$A$2:$A$21,0),MATCH(P$3,Scoreboard!$B$1:$AE$1,0))-INDEX(Scoreboard!$B$22:$AE$22,MATCH(P$3,Scoreboard!$B$1:$AE$1,0)),""))</f>
        <v/>
      </c>
      <c r="Q18" s="11">
        <f>IF(OR($A18="",Q$3=""),"",IFERROR(INDEX(Scoreboard!$B$2:$AE$21,MATCH($A18,Scoreboard!$A$2:$A$21,0),MATCH(Q$3,Scoreboard!$B$1:$AE$1,0))-INDEX(Scoreboard!$B$22:$AE$22,MATCH(Q$3,Scoreboard!$B$1:$AE$1,0)),""))</f>
        <v/>
      </c>
      <c r="R18" s="11">
        <f>IF(OR($A18="",R$3=""),"",IFERROR(INDEX(Scoreboard!$B$2:$AE$21,MATCH($A18,Scoreboard!$A$2:$A$21,0),MATCH(R$3,Scoreboard!$B$1:$AE$1,0))-INDEX(Scoreboard!$B$22:$AE$22,MATCH(R$3,Scoreboard!$B$1:$AE$1,0)),""))</f>
        <v/>
      </c>
      <c r="S18" s="11">
        <f>IF(OR($A18="",S$3=""),"",IFERROR(INDEX(Scoreboard!$B$2:$AE$21,MATCH($A18,Scoreboard!$A$2:$A$21,0),MATCH(S$3,Scoreboard!$B$1:$AE$1,0))-INDEX(Scoreboard!$B$22:$AE$22,MATCH(S$3,Scoreboard!$B$1:$AE$1,0)),""))</f>
        <v/>
      </c>
      <c r="T18" s="11">
        <f>IF(OR($A18="",T$3=""),"",IFERROR(INDEX(Scoreboard!$B$2:$AE$21,MATCH($A18,Scoreboard!$A$2:$A$21,0),MATCH(T$3,Scoreboard!$B$1:$AE$1,0))-INDEX(Scoreboard!$B$22:$AE$22,MATCH(T$3,Scoreboard!$B$1:$AE$1,0)),""))</f>
        <v/>
      </c>
      <c r="U18" s="11">
        <f>IF(OR($A18="",U$3=""),"",IFERROR(INDEX(Scoreboard!$B$2:$AE$21,MATCH($A18,Scoreboard!$A$2:$A$21,0),MATCH(U$3,Scoreboard!$B$1:$AE$1,0))-INDEX(Scoreboard!$B$22:$AE$22,MATCH(U$3,Scoreboard!$B$1:$AE$1,0)),""))</f>
        <v/>
      </c>
      <c r="V18" s="11">
        <f>IF(OR($A18="",V$3=""),"",IFERROR(INDEX(Scoreboard!$B$2:$AE$21,MATCH($A18,Scoreboard!$A$2:$A$21,0),MATCH(V$3,Scoreboard!$B$1:$AE$1,0))-INDEX(Scoreboard!$B$22:$AE$22,MATCH(V$3,Scoreboard!$B$1:$AE$1,0)),""))</f>
        <v/>
      </c>
      <c r="W18" s="11">
        <f>IF(OR($A18="",W$3=""),"",IFERROR(INDEX(Scoreboard!$B$2:$AE$21,MATCH($A18,Scoreboard!$A$2:$A$21,0),MATCH(W$3,Scoreboard!$B$1:$AE$1,0))-INDEX(Scoreboard!$B$22:$AE$22,MATCH(W$3,Scoreboard!$B$1:$AE$1,0)),""))</f>
        <v/>
      </c>
      <c r="X18" s="11">
        <f>IF(OR($A18="",X$3=""),"",IFERROR(INDEX(Scoreboard!$B$2:$AE$21,MATCH($A18,Scoreboard!$A$2:$A$21,0),MATCH(X$3,Scoreboard!$B$1:$AE$1,0))-INDEX(Scoreboard!$B$22:$AE$22,MATCH(X$3,Scoreboard!$B$1:$AE$1,0)),""))</f>
        <v/>
      </c>
      <c r="Y18" s="11">
        <f>IF(OR($A18="",Y$3=""),"",IFERROR(INDEX(Scoreboard!$B$2:$AE$21,MATCH($A18,Scoreboard!$A$2:$A$21,0),MATCH(Y$3,Scoreboard!$B$1:$AE$1,0))-INDEX(Scoreboard!$B$22:$AE$22,MATCH(Y$3,Scoreboard!$B$1:$AE$1,0)),""))</f>
        <v/>
      </c>
      <c r="Z18" s="11">
        <f>IF(OR($A18="",Z$3=""),"",IFERROR(INDEX(Scoreboard!$B$2:$AE$21,MATCH($A18,Scoreboard!$A$2:$A$21,0),MATCH(Z$3,Scoreboard!$B$1:$AE$1,0))-INDEX(Scoreboard!$B$22:$AE$22,MATCH(Z$3,Scoreboard!$B$1:$AE$1,0)),""))</f>
        <v/>
      </c>
      <c r="AA18" s="11">
        <f>IF(OR($A18="",AA$3=""),"",IFERROR(INDEX(Scoreboard!$B$2:$AE$21,MATCH($A18,Scoreboard!$A$2:$A$21,0),MATCH(AA$3,Scoreboard!$B$1:$AE$1,0))-INDEX(Scoreboard!$B$22:$AE$22,MATCH(AA$3,Scoreboard!$B$1:$AE$1,0)),""))</f>
        <v/>
      </c>
      <c r="AB18" s="11">
        <f>IF(OR($A18="",AB$3=""),"",IFERROR(INDEX(Scoreboard!$B$2:$AE$21,MATCH($A18,Scoreboard!$A$2:$A$21,0),MATCH(AB$3,Scoreboard!$B$1:$AE$1,0))-INDEX(Scoreboard!$B$22:$AE$22,MATCH(AB$3,Scoreboard!$B$1:$AE$1,0)),""))</f>
        <v/>
      </c>
      <c r="AC18" s="11">
        <f>IF(OR($A18="",AC$3=""),"",IFERROR(INDEX(Scoreboard!$B$2:$AE$21,MATCH($A18,Scoreboard!$A$2:$A$21,0),MATCH(AC$3,Scoreboard!$B$1:$AE$1,0))-INDEX(Scoreboard!$B$22:$AE$22,MATCH(AC$3,Scoreboard!$B$1:$AE$1,0)),""))</f>
        <v/>
      </c>
      <c r="AD18" s="11">
        <f>IF(OR($A18="",AD$3=""),"",IFERROR(INDEX(Scoreboard!$B$2:$AE$21,MATCH($A18,Scoreboard!$A$2:$A$21,0),MATCH(AD$3,Scoreboard!$B$1:$AE$1,0))-INDEX(Scoreboard!$B$22:$AE$22,MATCH(AD$3,Scoreboard!$B$1:$AE$1,0)),""))</f>
        <v/>
      </c>
      <c r="AE18" s="11">
        <f>IF(OR($A18="",AE$3=""),"",IFERROR(INDEX(Scoreboard!$B$2:$AE$21,MATCH($A18,Scoreboard!$A$2:$A$21,0),MATCH(AE$3,Scoreboard!$B$1:$AE$1,0))-INDEX(Scoreboard!$B$22:$AE$22,MATCH(AE$3,Scoreboard!$B$1:$AE$1,0)),""))</f>
        <v/>
      </c>
    </row>
    <row r="19">
      <c r="A19" s="5">
        <f>IFERROR(Config!A17,"")</f>
        <v/>
      </c>
      <c r="B19" s="11">
        <f>IF(OR($A19="",B$3=""),"",IFERROR(INDEX(Scoreboard!$B$2:$AE$21,MATCH($A19,Scoreboard!$A$2:$A$21,0),MATCH(B$3,Scoreboard!$B$1:$AE$1,0))-INDEX(Scoreboard!$B$22:$AE$22,MATCH(B$3,Scoreboard!$B$1:$AE$1,0)),""))</f>
        <v/>
      </c>
      <c r="C19" s="11">
        <f>IF(OR($A19="",C$3=""),"",IFERROR(INDEX(Scoreboard!$B$2:$AE$21,MATCH($A19,Scoreboard!$A$2:$A$21,0),MATCH(C$3,Scoreboard!$B$1:$AE$1,0))-INDEX(Scoreboard!$B$22:$AE$22,MATCH(C$3,Scoreboard!$B$1:$AE$1,0)),""))</f>
        <v/>
      </c>
      <c r="D19" s="11">
        <f>IF(OR($A19="",D$3=""),"",IFERROR(INDEX(Scoreboard!$B$2:$AE$21,MATCH($A19,Scoreboard!$A$2:$A$21,0),MATCH(D$3,Scoreboard!$B$1:$AE$1,0))-INDEX(Scoreboard!$B$22:$AE$22,MATCH(D$3,Scoreboard!$B$1:$AE$1,0)),""))</f>
        <v/>
      </c>
      <c r="E19" s="11">
        <f>IF(OR($A19="",E$3=""),"",IFERROR(INDEX(Scoreboard!$B$2:$AE$21,MATCH($A19,Scoreboard!$A$2:$A$21,0),MATCH(E$3,Scoreboard!$B$1:$AE$1,0))-INDEX(Scoreboard!$B$22:$AE$22,MATCH(E$3,Scoreboard!$B$1:$AE$1,0)),""))</f>
        <v/>
      </c>
      <c r="F19" s="11">
        <f>IF(OR($A19="",F$3=""),"",IFERROR(INDEX(Scoreboard!$B$2:$AE$21,MATCH($A19,Scoreboard!$A$2:$A$21,0),MATCH(F$3,Scoreboard!$B$1:$AE$1,0))-INDEX(Scoreboard!$B$22:$AE$22,MATCH(F$3,Scoreboard!$B$1:$AE$1,0)),""))</f>
        <v/>
      </c>
      <c r="G19" s="11">
        <f>IF(OR($A19="",G$3=""),"",IFERROR(INDEX(Scoreboard!$B$2:$AE$21,MATCH($A19,Scoreboard!$A$2:$A$21,0),MATCH(G$3,Scoreboard!$B$1:$AE$1,0))-INDEX(Scoreboard!$B$22:$AE$22,MATCH(G$3,Scoreboard!$B$1:$AE$1,0)),""))</f>
        <v/>
      </c>
      <c r="H19" s="11">
        <f>IF(OR($A19="",H$3=""),"",IFERROR(INDEX(Scoreboard!$B$2:$AE$21,MATCH($A19,Scoreboard!$A$2:$A$21,0),MATCH(H$3,Scoreboard!$B$1:$AE$1,0))-INDEX(Scoreboard!$B$22:$AE$22,MATCH(H$3,Scoreboard!$B$1:$AE$1,0)),""))</f>
        <v/>
      </c>
      <c r="I19" s="11">
        <f>IF(OR($A19="",I$3=""),"",IFERROR(INDEX(Scoreboard!$B$2:$AE$21,MATCH($A19,Scoreboard!$A$2:$A$21,0),MATCH(I$3,Scoreboard!$B$1:$AE$1,0))-INDEX(Scoreboard!$B$22:$AE$22,MATCH(I$3,Scoreboard!$B$1:$AE$1,0)),""))</f>
        <v/>
      </c>
      <c r="J19" s="11">
        <f>IF(OR($A19="",J$3=""),"",IFERROR(INDEX(Scoreboard!$B$2:$AE$21,MATCH($A19,Scoreboard!$A$2:$A$21,0),MATCH(J$3,Scoreboard!$B$1:$AE$1,0))-INDEX(Scoreboard!$B$22:$AE$22,MATCH(J$3,Scoreboard!$B$1:$AE$1,0)),""))</f>
        <v/>
      </c>
      <c r="K19" s="11">
        <f>IF(OR($A19="",K$3=""),"",IFERROR(INDEX(Scoreboard!$B$2:$AE$21,MATCH($A19,Scoreboard!$A$2:$A$21,0),MATCH(K$3,Scoreboard!$B$1:$AE$1,0))-INDEX(Scoreboard!$B$22:$AE$22,MATCH(K$3,Scoreboard!$B$1:$AE$1,0)),""))</f>
        <v/>
      </c>
      <c r="L19" s="11">
        <f>IF(OR($A19="",L$3=""),"",IFERROR(INDEX(Scoreboard!$B$2:$AE$21,MATCH($A19,Scoreboard!$A$2:$A$21,0),MATCH(L$3,Scoreboard!$B$1:$AE$1,0))-INDEX(Scoreboard!$B$22:$AE$22,MATCH(L$3,Scoreboard!$B$1:$AE$1,0)),""))</f>
        <v/>
      </c>
      <c r="M19" s="11">
        <f>IF(OR($A19="",M$3=""),"",IFERROR(INDEX(Scoreboard!$B$2:$AE$21,MATCH($A19,Scoreboard!$A$2:$A$21,0),MATCH(M$3,Scoreboard!$B$1:$AE$1,0))-INDEX(Scoreboard!$B$22:$AE$22,MATCH(M$3,Scoreboard!$B$1:$AE$1,0)),""))</f>
        <v/>
      </c>
      <c r="N19" s="11">
        <f>IF(OR($A19="",N$3=""),"",IFERROR(INDEX(Scoreboard!$B$2:$AE$21,MATCH($A19,Scoreboard!$A$2:$A$21,0),MATCH(N$3,Scoreboard!$B$1:$AE$1,0))-INDEX(Scoreboard!$B$22:$AE$22,MATCH(N$3,Scoreboard!$B$1:$AE$1,0)),""))</f>
        <v/>
      </c>
      <c r="O19" s="11">
        <f>IF(OR($A19="",O$3=""),"",IFERROR(INDEX(Scoreboard!$B$2:$AE$21,MATCH($A19,Scoreboard!$A$2:$A$21,0),MATCH(O$3,Scoreboard!$B$1:$AE$1,0))-INDEX(Scoreboard!$B$22:$AE$22,MATCH(O$3,Scoreboard!$B$1:$AE$1,0)),""))</f>
        <v/>
      </c>
      <c r="P19" s="11">
        <f>IF(OR($A19="",P$3=""),"",IFERROR(INDEX(Scoreboard!$B$2:$AE$21,MATCH($A19,Scoreboard!$A$2:$A$21,0),MATCH(P$3,Scoreboard!$B$1:$AE$1,0))-INDEX(Scoreboard!$B$22:$AE$22,MATCH(P$3,Scoreboard!$B$1:$AE$1,0)),""))</f>
        <v/>
      </c>
      <c r="Q19" s="11">
        <f>IF(OR($A19="",Q$3=""),"",IFERROR(INDEX(Scoreboard!$B$2:$AE$21,MATCH($A19,Scoreboard!$A$2:$A$21,0),MATCH(Q$3,Scoreboard!$B$1:$AE$1,0))-INDEX(Scoreboard!$B$22:$AE$22,MATCH(Q$3,Scoreboard!$B$1:$AE$1,0)),""))</f>
        <v/>
      </c>
      <c r="R19" s="11">
        <f>IF(OR($A19="",R$3=""),"",IFERROR(INDEX(Scoreboard!$B$2:$AE$21,MATCH($A19,Scoreboard!$A$2:$A$21,0),MATCH(R$3,Scoreboard!$B$1:$AE$1,0))-INDEX(Scoreboard!$B$22:$AE$22,MATCH(R$3,Scoreboard!$B$1:$AE$1,0)),""))</f>
        <v/>
      </c>
      <c r="S19" s="11">
        <f>IF(OR($A19="",S$3=""),"",IFERROR(INDEX(Scoreboard!$B$2:$AE$21,MATCH($A19,Scoreboard!$A$2:$A$21,0),MATCH(S$3,Scoreboard!$B$1:$AE$1,0))-INDEX(Scoreboard!$B$22:$AE$22,MATCH(S$3,Scoreboard!$B$1:$AE$1,0)),""))</f>
        <v/>
      </c>
      <c r="T19" s="11">
        <f>IF(OR($A19="",T$3=""),"",IFERROR(INDEX(Scoreboard!$B$2:$AE$21,MATCH($A19,Scoreboard!$A$2:$A$21,0),MATCH(T$3,Scoreboard!$B$1:$AE$1,0))-INDEX(Scoreboard!$B$22:$AE$22,MATCH(T$3,Scoreboard!$B$1:$AE$1,0)),""))</f>
        <v/>
      </c>
      <c r="U19" s="11">
        <f>IF(OR($A19="",U$3=""),"",IFERROR(INDEX(Scoreboard!$B$2:$AE$21,MATCH($A19,Scoreboard!$A$2:$A$21,0),MATCH(U$3,Scoreboard!$B$1:$AE$1,0))-INDEX(Scoreboard!$B$22:$AE$22,MATCH(U$3,Scoreboard!$B$1:$AE$1,0)),""))</f>
        <v/>
      </c>
      <c r="V19" s="11">
        <f>IF(OR($A19="",V$3=""),"",IFERROR(INDEX(Scoreboard!$B$2:$AE$21,MATCH($A19,Scoreboard!$A$2:$A$21,0),MATCH(V$3,Scoreboard!$B$1:$AE$1,0))-INDEX(Scoreboard!$B$22:$AE$22,MATCH(V$3,Scoreboard!$B$1:$AE$1,0)),""))</f>
        <v/>
      </c>
      <c r="W19" s="11">
        <f>IF(OR($A19="",W$3=""),"",IFERROR(INDEX(Scoreboard!$B$2:$AE$21,MATCH($A19,Scoreboard!$A$2:$A$21,0),MATCH(W$3,Scoreboard!$B$1:$AE$1,0))-INDEX(Scoreboard!$B$22:$AE$22,MATCH(W$3,Scoreboard!$B$1:$AE$1,0)),""))</f>
        <v/>
      </c>
      <c r="X19" s="11">
        <f>IF(OR($A19="",X$3=""),"",IFERROR(INDEX(Scoreboard!$B$2:$AE$21,MATCH($A19,Scoreboard!$A$2:$A$21,0),MATCH(X$3,Scoreboard!$B$1:$AE$1,0))-INDEX(Scoreboard!$B$22:$AE$22,MATCH(X$3,Scoreboard!$B$1:$AE$1,0)),""))</f>
        <v/>
      </c>
      <c r="Y19" s="11">
        <f>IF(OR($A19="",Y$3=""),"",IFERROR(INDEX(Scoreboard!$B$2:$AE$21,MATCH($A19,Scoreboard!$A$2:$A$21,0),MATCH(Y$3,Scoreboard!$B$1:$AE$1,0))-INDEX(Scoreboard!$B$22:$AE$22,MATCH(Y$3,Scoreboard!$B$1:$AE$1,0)),""))</f>
        <v/>
      </c>
      <c r="Z19" s="11">
        <f>IF(OR($A19="",Z$3=""),"",IFERROR(INDEX(Scoreboard!$B$2:$AE$21,MATCH($A19,Scoreboard!$A$2:$A$21,0),MATCH(Z$3,Scoreboard!$B$1:$AE$1,0))-INDEX(Scoreboard!$B$22:$AE$22,MATCH(Z$3,Scoreboard!$B$1:$AE$1,0)),""))</f>
        <v/>
      </c>
      <c r="AA19" s="11">
        <f>IF(OR($A19="",AA$3=""),"",IFERROR(INDEX(Scoreboard!$B$2:$AE$21,MATCH($A19,Scoreboard!$A$2:$A$21,0),MATCH(AA$3,Scoreboard!$B$1:$AE$1,0))-INDEX(Scoreboard!$B$22:$AE$22,MATCH(AA$3,Scoreboard!$B$1:$AE$1,0)),""))</f>
        <v/>
      </c>
      <c r="AB19" s="11">
        <f>IF(OR($A19="",AB$3=""),"",IFERROR(INDEX(Scoreboard!$B$2:$AE$21,MATCH($A19,Scoreboard!$A$2:$A$21,0),MATCH(AB$3,Scoreboard!$B$1:$AE$1,0))-INDEX(Scoreboard!$B$22:$AE$22,MATCH(AB$3,Scoreboard!$B$1:$AE$1,0)),""))</f>
        <v/>
      </c>
      <c r="AC19" s="11">
        <f>IF(OR($A19="",AC$3=""),"",IFERROR(INDEX(Scoreboard!$B$2:$AE$21,MATCH($A19,Scoreboard!$A$2:$A$21,0),MATCH(AC$3,Scoreboard!$B$1:$AE$1,0))-INDEX(Scoreboard!$B$22:$AE$22,MATCH(AC$3,Scoreboard!$B$1:$AE$1,0)),""))</f>
        <v/>
      </c>
      <c r="AD19" s="11">
        <f>IF(OR($A19="",AD$3=""),"",IFERROR(INDEX(Scoreboard!$B$2:$AE$21,MATCH($A19,Scoreboard!$A$2:$A$21,0),MATCH(AD$3,Scoreboard!$B$1:$AE$1,0))-INDEX(Scoreboard!$B$22:$AE$22,MATCH(AD$3,Scoreboard!$B$1:$AE$1,0)),""))</f>
        <v/>
      </c>
      <c r="AE19" s="11">
        <f>IF(OR($A19="",AE$3=""),"",IFERROR(INDEX(Scoreboard!$B$2:$AE$21,MATCH($A19,Scoreboard!$A$2:$A$21,0),MATCH(AE$3,Scoreboard!$B$1:$AE$1,0))-INDEX(Scoreboard!$B$22:$AE$22,MATCH(AE$3,Scoreboard!$B$1:$AE$1,0)),""))</f>
        <v/>
      </c>
    </row>
    <row r="20">
      <c r="A20" s="5">
        <f>IFERROR(Config!A18,"")</f>
        <v/>
      </c>
      <c r="B20" s="11">
        <f>IF(OR($A20="",B$3=""),"",IFERROR(INDEX(Scoreboard!$B$2:$AE$21,MATCH($A20,Scoreboard!$A$2:$A$21,0),MATCH(B$3,Scoreboard!$B$1:$AE$1,0))-INDEX(Scoreboard!$B$22:$AE$22,MATCH(B$3,Scoreboard!$B$1:$AE$1,0)),""))</f>
        <v/>
      </c>
      <c r="C20" s="11">
        <f>IF(OR($A20="",C$3=""),"",IFERROR(INDEX(Scoreboard!$B$2:$AE$21,MATCH($A20,Scoreboard!$A$2:$A$21,0),MATCH(C$3,Scoreboard!$B$1:$AE$1,0))-INDEX(Scoreboard!$B$22:$AE$22,MATCH(C$3,Scoreboard!$B$1:$AE$1,0)),""))</f>
        <v/>
      </c>
      <c r="D20" s="11">
        <f>IF(OR($A20="",D$3=""),"",IFERROR(INDEX(Scoreboard!$B$2:$AE$21,MATCH($A20,Scoreboard!$A$2:$A$21,0),MATCH(D$3,Scoreboard!$B$1:$AE$1,0))-INDEX(Scoreboard!$B$22:$AE$22,MATCH(D$3,Scoreboard!$B$1:$AE$1,0)),""))</f>
        <v/>
      </c>
      <c r="E20" s="11">
        <f>IF(OR($A20="",E$3=""),"",IFERROR(INDEX(Scoreboard!$B$2:$AE$21,MATCH($A20,Scoreboard!$A$2:$A$21,0),MATCH(E$3,Scoreboard!$B$1:$AE$1,0))-INDEX(Scoreboard!$B$22:$AE$22,MATCH(E$3,Scoreboard!$B$1:$AE$1,0)),""))</f>
        <v/>
      </c>
      <c r="F20" s="11">
        <f>IF(OR($A20="",F$3=""),"",IFERROR(INDEX(Scoreboard!$B$2:$AE$21,MATCH($A20,Scoreboard!$A$2:$A$21,0),MATCH(F$3,Scoreboard!$B$1:$AE$1,0))-INDEX(Scoreboard!$B$22:$AE$22,MATCH(F$3,Scoreboard!$B$1:$AE$1,0)),""))</f>
        <v/>
      </c>
      <c r="G20" s="11">
        <f>IF(OR($A20="",G$3=""),"",IFERROR(INDEX(Scoreboard!$B$2:$AE$21,MATCH($A20,Scoreboard!$A$2:$A$21,0),MATCH(G$3,Scoreboard!$B$1:$AE$1,0))-INDEX(Scoreboard!$B$22:$AE$22,MATCH(G$3,Scoreboard!$B$1:$AE$1,0)),""))</f>
        <v/>
      </c>
      <c r="H20" s="11">
        <f>IF(OR($A20="",H$3=""),"",IFERROR(INDEX(Scoreboard!$B$2:$AE$21,MATCH($A20,Scoreboard!$A$2:$A$21,0),MATCH(H$3,Scoreboard!$B$1:$AE$1,0))-INDEX(Scoreboard!$B$22:$AE$22,MATCH(H$3,Scoreboard!$B$1:$AE$1,0)),""))</f>
        <v/>
      </c>
      <c r="I20" s="11">
        <f>IF(OR($A20="",I$3=""),"",IFERROR(INDEX(Scoreboard!$B$2:$AE$21,MATCH($A20,Scoreboard!$A$2:$A$21,0),MATCH(I$3,Scoreboard!$B$1:$AE$1,0))-INDEX(Scoreboard!$B$22:$AE$22,MATCH(I$3,Scoreboard!$B$1:$AE$1,0)),""))</f>
        <v/>
      </c>
      <c r="J20" s="11">
        <f>IF(OR($A20="",J$3=""),"",IFERROR(INDEX(Scoreboard!$B$2:$AE$21,MATCH($A20,Scoreboard!$A$2:$A$21,0),MATCH(J$3,Scoreboard!$B$1:$AE$1,0))-INDEX(Scoreboard!$B$22:$AE$22,MATCH(J$3,Scoreboard!$B$1:$AE$1,0)),""))</f>
        <v/>
      </c>
      <c r="K20" s="11">
        <f>IF(OR($A20="",K$3=""),"",IFERROR(INDEX(Scoreboard!$B$2:$AE$21,MATCH($A20,Scoreboard!$A$2:$A$21,0),MATCH(K$3,Scoreboard!$B$1:$AE$1,0))-INDEX(Scoreboard!$B$22:$AE$22,MATCH(K$3,Scoreboard!$B$1:$AE$1,0)),""))</f>
        <v/>
      </c>
      <c r="L20" s="11">
        <f>IF(OR($A20="",L$3=""),"",IFERROR(INDEX(Scoreboard!$B$2:$AE$21,MATCH($A20,Scoreboard!$A$2:$A$21,0),MATCH(L$3,Scoreboard!$B$1:$AE$1,0))-INDEX(Scoreboard!$B$22:$AE$22,MATCH(L$3,Scoreboard!$B$1:$AE$1,0)),""))</f>
        <v/>
      </c>
      <c r="M20" s="11">
        <f>IF(OR($A20="",M$3=""),"",IFERROR(INDEX(Scoreboard!$B$2:$AE$21,MATCH($A20,Scoreboard!$A$2:$A$21,0),MATCH(M$3,Scoreboard!$B$1:$AE$1,0))-INDEX(Scoreboard!$B$22:$AE$22,MATCH(M$3,Scoreboard!$B$1:$AE$1,0)),""))</f>
        <v/>
      </c>
      <c r="N20" s="11">
        <f>IF(OR($A20="",N$3=""),"",IFERROR(INDEX(Scoreboard!$B$2:$AE$21,MATCH($A20,Scoreboard!$A$2:$A$21,0),MATCH(N$3,Scoreboard!$B$1:$AE$1,0))-INDEX(Scoreboard!$B$22:$AE$22,MATCH(N$3,Scoreboard!$B$1:$AE$1,0)),""))</f>
        <v/>
      </c>
      <c r="O20" s="11">
        <f>IF(OR($A20="",O$3=""),"",IFERROR(INDEX(Scoreboard!$B$2:$AE$21,MATCH($A20,Scoreboard!$A$2:$A$21,0),MATCH(O$3,Scoreboard!$B$1:$AE$1,0))-INDEX(Scoreboard!$B$22:$AE$22,MATCH(O$3,Scoreboard!$B$1:$AE$1,0)),""))</f>
        <v/>
      </c>
      <c r="P20" s="11">
        <f>IF(OR($A20="",P$3=""),"",IFERROR(INDEX(Scoreboard!$B$2:$AE$21,MATCH($A20,Scoreboard!$A$2:$A$21,0),MATCH(P$3,Scoreboard!$B$1:$AE$1,0))-INDEX(Scoreboard!$B$22:$AE$22,MATCH(P$3,Scoreboard!$B$1:$AE$1,0)),""))</f>
        <v/>
      </c>
      <c r="Q20" s="11">
        <f>IF(OR($A20="",Q$3=""),"",IFERROR(INDEX(Scoreboard!$B$2:$AE$21,MATCH($A20,Scoreboard!$A$2:$A$21,0),MATCH(Q$3,Scoreboard!$B$1:$AE$1,0))-INDEX(Scoreboard!$B$22:$AE$22,MATCH(Q$3,Scoreboard!$B$1:$AE$1,0)),""))</f>
        <v/>
      </c>
      <c r="R20" s="11">
        <f>IF(OR($A20="",R$3=""),"",IFERROR(INDEX(Scoreboard!$B$2:$AE$21,MATCH($A20,Scoreboard!$A$2:$A$21,0),MATCH(R$3,Scoreboard!$B$1:$AE$1,0))-INDEX(Scoreboard!$B$22:$AE$22,MATCH(R$3,Scoreboard!$B$1:$AE$1,0)),""))</f>
        <v/>
      </c>
      <c r="S20" s="11">
        <f>IF(OR($A20="",S$3=""),"",IFERROR(INDEX(Scoreboard!$B$2:$AE$21,MATCH($A20,Scoreboard!$A$2:$A$21,0),MATCH(S$3,Scoreboard!$B$1:$AE$1,0))-INDEX(Scoreboard!$B$22:$AE$22,MATCH(S$3,Scoreboard!$B$1:$AE$1,0)),""))</f>
        <v/>
      </c>
      <c r="T20" s="11">
        <f>IF(OR($A20="",T$3=""),"",IFERROR(INDEX(Scoreboard!$B$2:$AE$21,MATCH($A20,Scoreboard!$A$2:$A$21,0),MATCH(T$3,Scoreboard!$B$1:$AE$1,0))-INDEX(Scoreboard!$B$22:$AE$22,MATCH(T$3,Scoreboard!$B$1:$AE$1,0)),""))</f>
        <v/>
      </c>
      <c r="U20" s="11">
        <f>IF(OR($A20="",U$3=""),"",IFERROR(INDEX(Scoreboard!$B$2:$AE$21,MATCH($A20,Scoreboard!$A$2:$A$21,0),MATCH(U$3,Scoreboard!$B$1:$AE$1,0))-INDEX(Scoreboard!$B$22:$AE$22,MATCH(U$3,Scoreboard!$B$1:$AE$1,0)),""))</f>
        <v/>
      </c>
      <c r="V20" s="11">
        <f>IF(OR($A20="",V$3=""),"",IFERROR(INDEX(Scoreboard!$B$2:$AE$21,MATCH($A20,Scoreboard!$A$2:$A$21,0),MATCH(V$3,Scoreboard!$B$1:$AE$1,0))-INDEX(Scoreboard!$B$22:$AE$22,MATCH(V$3,Scoreboard!$B$1:$AE$1,0)),""))</f>
        <v/>
      </c>
      <c r="W20" s="11">
        <f>IF(OR($A20="",W$3=""),"",IFERROR(INDEX(Scoreboard!$B$2:$AE$21,MATCH($A20,Scoreboard!$A$2:$A$21,0),MATCH(W$3,Scoreboard!$B$1:$AE$1,0))-INDEX(Scoreboard!$B$22:$AE$22,MATCH(W$3,Scoreboard!$B$1:$AE$1,0)),""))</f>
        <v/>
      </c>
      <c r="X20" s="11">
        <f>IF(OR($A20="",X$3=""),"",IFERROR(INDEX(Scoreboard!$B$2:$AE$21,MATCH($A20,Scoreboard!$A$2:$A$21,0),MATCH(X$3,Scoreboard!$B$1:$AE$1,0))-INDEX(Scoreboard!$B$22:$AE$22,MATCH(X$3,Scoreboard!$B$1:$AE$1,0)),""))</f>
        <v/>
      </c>
      <c r="Y20" s="11">
        <f>IF(OR($A20="",Y$3=""),"",IFERROR(INDEX(Scoreboard!$B$2:$AE$21,MATCH($A20,Scoreboard!$A$2:$A$21,0),MATCH(Y$3,Scoreboard!$B$1:$AE$1,0))-INDEX(Scoreboard!$B$22:$AE$22,MATCH(Y$3,Scoreboard!$B$1:$AE$1,0)),""))</f>
        <v/>
      </c>
      <c r="Z20" s="11">
        <f>IF(OR($A20="",Z$3=""),"",IFERROR(INDEX(Scoreboard!$B$2:$AE$21,MATCH($A20,Scoreboard!$A$2:$A$21,0),MATCH(Z$3,Scoreboard!$B$1:$AE$1,0))-INDEX(Scoreboard!$B$22:$AE$22,MATCH(Z$3,Scoreboard!$B$1:$AE$1,0)),""))</f>
        <v/>
      </c>
      <c r="AA20" s="11">
        <f>IF(OR($A20="",AA$3=""),"",IFERROR(INDEX(Scoreboard!$B$2:$AE$21,MATCH($A20,Scoreboard!$A$2:$A$21,0),MATCH(AA$3,Scoreboard!$B$1:$AE$1,0))-INDEX(Scoreboard!$B$22:$AE$22,MATCH(AA$3,Scoreboard!$B$1:$AE$1,0)),""))</f>
        <v/>
      </c>
      <c r="AB20" s="11">
        <f>IF(OR($A20="",AB$3=""),"",IFERROR(INDEX(Scoreboard!$B$2:$AE$21,MATCH($A20,Scoreboard!$A$2:$A$21,0),MATCH(AB$3,Scoreboard!$B$1:$AE$1,0))-INDEX(Scoreboard!$B$22:$AE$22,MATCH(AB$3,Scoreboard!$B$1:$AE$1,0)),""))</f>
        <v/>
      </c>
      <c r="AC20" s="11">
        <f>IF(OR($A20="",AC$3=""),"",IFERROR(INDEX(Scoreboard!$B$2:$AE$21,MATCH($A20,Scoreboard!$A$2:$A$21,0),MATCH(AC$3,Scoreboard!$B$1:$AE$1,0))-INDEX(Scoreboard!$B$22:$AE$22,MATCH(AC$3,Scoreboard!$B$1:$AE$1,0)),""))</f>
        <v/>
      </c>
      <c r="AD20" s="11">
        <f>IF(OR($A20="",AD$3=""),"",IFERROR(INDEX(Scoreboard!$B$2:$AE$21,MATCH($A20,Scoreboard!$A$2:$A$21,0),MATCH(AD$3,Scoreboard!$B$1:$AE$1,0))-INDEX(Scoreboard!$B$22:$AE$22,MATCH(AD$3,Scoreboard!$B$1:$AE$1,0)),""))</f>
        <v/>
      </c>
      <c r="AE20" s="11">
        <f>IF(OR($A20="",AE$3=""),"",IFERROR(INDEX(Scoreboard!$B$2:$AE$21,MATCH($A20,Scoreboard!$A$2:$A$21,0),MATCH(AE$3,Scoreboard!$B$1:$AE$1,0))-INDEX(Scoreboard!$B$22:$AE$22,MATCH(AE$3,Scoreboard!$B$1:$AE$1,0)),""))</f>
        <v/>
      </c>
    </row>
    <row r="21">
      <c r="A21" s="5">
        <f>IFERROR(Config!A19,"")</f>
        <v/>
      </c>
      <c r="B21" s="11">
        <f>IF(OR($A21="",B$3=""),"",IFERROR(INDEX(Scoreboard!$B$2:$AE$21,MATCH($A21,Scoreboard!$A$2:$A$21,0),MATCH(B$3,Scoreboard!$B$1:$AE$1,0))-INDEX(Scoreboard!$B$22:$AE$22,MATCH(B$3,Scoreboard!$B$1:$AE$1,0)),""))</f>
        <v/>
      </c>
      <c r="C21" s="11">
        <f>IF(OR($A21="",C$3=""),"",IFERROR(INDEX(Scoreboard!$B$2:$AE$21,MATCH($A21,Scoreboard!$A$2:$A$21,0),MATCH(C$3,Scoreboard!$B$1:$AE$1,0))-INDEX(Scoreboard!$B$22:$AE$22,MATCH(C$3,Scoreboard!$B$1:$AE$1,0)),""))</f>
        <v/>
      </c>
      <c r="D21" s="11">
        <f>IF(OR($A21="",D$3=""),"",IFERROR(INDEX(Scoreboard!$B$2:$AE$21,MATCH($A21,Scoreboard!$A$2:$A$21,0),MATCH(D$3,Scoreboard!$B$1:$AE$1,0))-INDEX(Scoreboard!$B$22:$AE$22,MATCH(D$3,Scoreboard!$B$1:$AE$1,0)),""))</f>
        <v/>
      </c>
      <c r="E21" s="11">
        <f>IF(OR($A21="",E$3=""),"",IFERROR(INDEX(Scoreboard!$B$2:$AE$21,MATCH($A21,Scoreboard!$A$2:$A$21,0),MATCH(E$3,Scoreboard!$B$1:$AE$1,0))-INDEX(Scoreboard!$B$22:$AE$22,MATCH(E$3,Scoreboard!$B$1:$AE$1,0)),""))</f>
        <v/>
      </c>
      <c r="F21" s="11">
        <f>IF(OR($A21="",F$3=""),"",IFERROR(INDEX(Scoreboard!$B$2:$AE$21,MATCH($A21,Scoreboard!$A$2:$A$21,0),MATCH(F$3,Scoreboard!$B$1:$AE$1,0))-INDEX(Scoreboard!$B$22:$AE$22,MATCH(F$3,Scoreboard!$B$1:$AE$1,0)),""))</f>
        <v/>
      </c>
      <c r="G21" s="11">
        <f>IF(OR($A21="",G$3=""),"",IFERROR(INDEX(Scoreboard!$B$2:$AE$21,MATCH($A21,Scoreboard!$A$2:$A$21,0),MATCH(G$3,Scoreboard!$B$1:$AE$1,0))-INDEX(Scoreboard!$B$22:$AE$22,MATCH(G$3,Scoreboard!$B$1:$AE$1,0)),""))</f>
        <v/>
      </c>
      <c r="H21" s="11">
        <f>IF(OR($A21="",H$3=""),"",IFERROR(INDEX(Scoreboard!$B$2:$AE$21,MATCH($A21,Scoreboard!$A$2:$A$21,0),MATCH(H$3,Scoreboard!$B$1:$AE$1,0))-INDEX(Scoreboard!$B$22:$AE$22,MATCH(H$3,Scoreboard!$B$1:$AE$1,0)),""))</f>
        <v/>
      </c>
      <c r="I21" s="11">
        <f>IF(OR($A21="",I$3=""),"",IFERROR(INDEX(Scoreboard!$B$2:$AE$21,MATCH($A21,Scoreboard!$A$2:$A$21,0),MATCH(I$3,Scoreboard!$B$1:$AE$1,0))-INDEX(Scoreboard!$B$22:$AE$22,MATCH(I$3,Scoreboard!$B$1:$AE$1,0)),""))</f>
        <v/>
      </c>
      <c r="J21" s="11">
        <f>IF(OR($A21="",J$3=""),"",IFERROR(INDEX(Scoreboard!$B$2:$AE$21,MATCH($A21,Scoreboard!$A$2:$A$21,0),MATCH(J$3,Scoreboard!$B$1:$AE$1,0))-INDEX(Scoreboard!$B$22:$AE$22,MATCH(J$3,Scoreboard!$B$1:$AE$1,0)),""))</f>
        <v/>
      </c>
      <c r="K21" s="11">
        <f>IF(OR($A21="",K$3=""),"",IFERROR(INDEX(Scoreboard!$B$2:$AE$21,MATCH($A21,Scoreboard!$A$2:$A$21,0),MATCH(K$3,Scoreboard!$B$1:$AE$1,0))-INDEX(Scoreboard!$B$22:$AE$22,MATCH(K$3,Scoreboard!$B$1:$AE$1,0)),""))</f>
        <v/>
      </c>
      <c r="L21" s="11">
        <f>IF(OR($A21="",L$3=""),"",IFERROR(INDEX(Scoreboard!$B$2:$AE$21,MATCH($A21,Scoreboard!$A$2:$A$21,0),MATCH(L$3,Scoreboard!$B$1:$AE$1,0))-INDEX(Scoreboard!$B$22:$AE$22,MATCH(L$3,Scoreboard!$B$1:$AE$1,0)),""))</f>
        <v/>
      </c>
      <c r="M21" s="11">
        <f>IF(OR($A21="",M$3=""),"",IFERROR(INDEX(Scoreboard!$B$2:$AE$21,MATCH($A21,Scoreboard!$A$2:$A$21,0),MATCH(M$3,Scoreboard!$B$1:$AE$1,0))-INDEX(Scoreboard!$B$22:$AE$22,MATCH(M$3,Scoreboard!$B$1:$AE$1,0)),""))</f>
        <v/>
      </c>
      <c r="N21" s="11">
        <f>IF(OR($A21="",N$3=""),"",IFERROR(INDEX(Scoreboard!$B$2:$AE$21,MATCH($A21,Scoreboard!$A$2:$A$21,0),MATCH(N$3,Scoreboard!$B$1:$AE$1,0))-INDEX(Scoreboard!$B$22:$AE$22,MATCH(N$3,Scoreboard!$B$1:$AE$1,0)),""))</f>
        <v/>
      </c>
      <c r="O21" s="11">
        <f>IF(OR($A21="",O$3=""),"",IFERROR(INDEX(Scoreboard!$B$2:$AE$21,MATCH($A21,Scoreboard!$A$2:$A$21,0),MATCH(O$3,Scoreboard!$B$1:$AE$1,0))-INDEX(Scoreboard!$B$22:$AE$22,MATCH(O$3,Scoreboard!$B$1:$AE$1,0)),""))</f>
        <v/>
      </c>
      <c r="P21" s="11">
        <f>IF(OR($A21="",P$3=""),"",IFERROR(INDEX(Scoreboard!$B$2:$AE$21,MATCH($A21,Scoreboard!$A$2:$A$21,0),MATCH(P$3,Scoreboard!$B$1:$AE$1,0))-INDEX(Scoreboard!$B$22:$AE$22,MATCH(P$3,Scoreboard!$B$1:$AE$1,0)),""))</f>
        <v/>
      </c>
      <c r="Q21" s="11">
        <f>IF(OR($A21="",Q$3=""),"",IFERROR(INDEX(Scoreboard!$B$2:$AE$21,MATCH($A21,Scoreboard!$A$2:$A$21,0),MATCH(Q$3,Scoreboard!$B$1:$AE$1,0))-INDEX(Scoreboard!$B$22:$AE$22,MATCH(Q$3,Scoreboard!$B$1:$AE$1,0)),""))</f>
        <v/>
      </c>
      <c r="R21" s="11">
        <f>IF(OR($A21="",R$3=""),"",IFERROR(INDEX(Scoreboard!$B$2:$AE$21,MATCH($A21,Scoreboard!$A$2:$A$21,0),MATCH(R$3,Scoreboard!$B$1:$AE$1,0))-INDEX(Scoreboard!$B$22:$AE$22,MATCH(R$3,Scoreboard!$B$1:$AE$1,0)),""))</f>
        <v/>
      </c>
      <c r="S21" s="11">
        <f>IF(OR($A21="",S$3=""),"",IFERROR(INDEX(Scoreboard!$B$2:$AE$21,MATCH($A21,Scoreboard!$A$2:$A$21,0),MATCH(S$3,Scoreboard!$B$1:$AE$1,0))-INDEX(Scoreboard!$B$22:$AE$22,MATCH(S$3,Scoreboard!$B$1:$AE$1,0)),""))</f>
        <v/>
      </c>
      <c r="T21" s="11">
        <f>IF(OR($A21="",T$3=""),"",IFERROR(INDEX(Scoreboard!$B$2:$AE$21,MATCH($A21,Scoreboard!$A$2:$A$21,0),MATCH(T$3,Scoreboard!$B$1:$AE$1,0))-INDEX(Scoreboard!$B$22:$AE$22,MATCH(T$3,Scoreboard!$B$1:$AE$1,0)),""))</f>
        <v/>
      </c>
      <c r="U21" s="11">
        <f>IF(OR($A21="",U$3=""),"",IFERROR(INDEX(Scoreboard!$B$2:$AE$21,MATCH($A21,Scoreboard!$A$2:$A$21,0),MATCH(U$3,Scoreboard!$B$1:$AE$1,0))-INDEX(Scoreboard!$B$22:$AE$22,MATCH(U$3,Scoreboard!$B$1:$AE$1,0)),""))</f>
        <v/>
      </c>
      <c r="V21" s="11">
        <f>IF(OR($A21="",V$3=""),"",IFERROR(INDEX(Scoreboard!$B$2:$AE$21,MATCH($A21,Scoreboard!$A$2:$A$21,0),MATCH(V$3,Scoreboard!$B$1:$AE$1,0))-INDEX(Scoreboard!$B$22:$AE$22,MATCH(V$3,Scoreboard!$B$1:$AE$1,0)),""))</f>
        <v/>
      </c>
      <c r="W21" s="11">
        <f>IF(OR($A21="",W$3=""),"",IFERROR(INDEX(Scoreboard!$B$2:$AE$21,MATCH($A21,Scoreboard!$A$2:$A$21,0),MATCH(W$3,Scoreboard!$B$1:$AE$1,0))-INDEX(Scoreboard!$B$22:$AE$22,MATCH(W$3,Scoreboard!$B$1:$AE$1,0)),""))</f>
        <v/>
      </c>
      <c r="X21" s="11">
        <f>IF(OR($A21="",X$3=""),"",IFERROR(INDEX(Scoreboard!$B$2:$AE$21,MATCH($A21,Scoreboard!$A$2:$A$21,0),MATCH(X$3,Scoreboard!$B$1:$AE$1,0))-INDEX(Scoreboard!$B$22:$AE$22,MATCH(X$3,Scoreboard!$B$1:$AE$1,0)),""))</f>
        <v/>
      </c>
      <c r="Y21" s="11">
        <f>IF(OR($A21="",Y$3=""),"",IFERROR(INDEX(Scoreboard!$B$2:$AE$21,MATCH($A21,Scoreboard!$A$2:$A$21,0),MATCH(Y$3,Scoreboard!$B$1:$AE$1,0))-INDEX(Scoreboard!$B$22:$AE$22,MATCH(Y$3,Scoreboard!$B$1:$AE$1,0)),""))</f>
        <v/>
      </c>
      <c r="Z21" s="11">
        <f>IF(OR($A21="",Z$3=""),"",IFERROR(INDEX(Scoreboard!$B$2:$AE$21,MATCH($A21,Scoreboard!$A$2:$A$21,0),MATCH(Z$3,Scoreboard!$B$1:$AE$1,0))-INDEX(Scoreboard!$B$22:$AE$22,MATCH(Z$3,Scoreboard!$B$1:$AE$1,0)),""))</f>
        <v/>
      </c>
      <c r="AA21" s="11">
        <f>IF(OR($A21="",AA$3=""),"",IFERROR(INDEX(Scoreboard!$B$2:$AE$21,MATCH($A21,Scoreboard!$A$2:$A$21,0),MATCH(AA$3,Scoreboard!$B$1:$AE$1,0))-INDEX(Scoreboard!$B$22:$AE$22,MATCH(AA$3,Scoreboard!$B$1:$AE$1,0)),""))</f>
        <v/>
      </c>
      <c r="AB21" s="11">
        <f>IF(OR($A21="",AB$3=""),"",IFERROR(INDEX(Scoreboard!$B$2:$AE$21,MATCH($A21,Scoreboard!$A$2:$A$21,0),MATCH(AB$3,Scoreboard!$B$1:$AE$1,0))-INDEX(Scoreboard!$B$22:$AE$22,MATCH(AB$3,Scoreboard!$B$1:$AE$1,0)),""))</f>
        <v/>
      </c>
      <c r="AC21" s="11">
        <f>IF(OR($A21="",AC$3=""),"",IFERROR(INDEX(Scoreboard!$B$2:$AE$21,MATCH($A21,Scoreboard!$A$2:$A$21,0),MATCH(AC$3,Scoreboard!$B$1:$AE$1,0))-INDEX(Scoreboard!$B$22:$AE$22,MATCH(AC$3,Scoreboard!$B$1:$AE$1,0)),""))</f>
        <v/>
      </c>
      <c r="AD21" s="11">
        <f>IF(OR($A21="",AD$3=""),"",IFERROR(INDEX(Scoreboard!$B$2:$AE$21,MATCH($A21,Scoreboard!$A$2:$A$21,0),MATCH(AD$3,Scoreboard!$B$1:$AE$1,0))-INDEX(Scoreboard!$B$22:$AE$22,MATCH(AD$3,Scoreboard!$B$1:$AE$1,0)),""))</f>
        <v/>
      </c>
      <c r="AE21" s="11">
        <f>IF(OR($A21="",AE$3=""),"",IFERROR(INDEX(Scoreboard!$B$2:$AE$21,MATCH($A21,Scoreboard!$A$2:$A$21,0),MATCH(AE$3,Scoreboard!$B$1:$AE$1,0))-INDEX(Scoreboard!$B$22:$AE$22,MATCH(AE$3,Scoreboard!$B$1:$AE$1,0)),""))</f>
        <v/>
      </c>
    </row>
    <row r="22">
      <c r="A22" s="5">
        <f>IFERROR(Config!A20,"")</f>
        <v/>
      </c>
      <c r="B22" s="11">
        <f>IF(OR($A22="",B$3=""),"",IFERROR(INDEX(Scoreboard!$B$2:$AE$21,MATCH($A22,Scoreboard!$A$2:$A$21,0),MATCH(B$3,Scoreboard!$B$1:$AE$1,0))-INDEX(Scoreboard!$B$22:$AE$22,MATCH(B$3,Scoreboard!$B$1:$AE$1,0)),""))</f>
        <v/>
      </c>
      <c r="C22" s="11">
        <f>IF(OR($A22="",C$3=""),"",IFERROR(INDEX(Scoreboard!$B$2:$AE$21,MATCH($A22,Scoreboard!$A$2:$A$21,0),MATCH(C$3,Scoreboard!$B$1:$AE$1,0))-INDEX(Scoreboard!$B$22:$AE$22,MATCH(C$3,Scoreboard!$B$1:$AE$1,0)),""))</f>
        <v/>
      </c>
      <c r="D22" s="11">
        <f>IF(OR($A22="",D$3=""),"",IFERROR(INDEX(Scoreboard!$B$2:$AE$21,MATCH($A22,Scoreboard!$A$2:$A$21,0),MATCH(D$3,Scoreboard!$B$1:$AE$1,0))-INDEX(Scoreboard!$B$22:$AE$22,MATCH(D$3,Scoreboard!$B$1:$AE$1,0)),""))</f>
        <v/>
      </c>
      <c r="E22" s="11">
        <f>IF(OR($A22="",E$3=""),"",IFERROR(INDEX(Scoreboard!$B$2:$AE$21,MATCH($A22,Scoreboard!$A$2:$A$21,0),MATCH(E$3,Scoreboard!$B$1:$AE$1,0))-INDEX(Scoreboard!$B$22:$AE$22,MATCH(E$3,Scoreboard!$B$1:$AE$1,0)),""))</f>
        <v/>
      </c>
      <c r="F22" s="11">
        <f>IF(OR($A22="",F$3=""),"",IFERROR(INDEX(Scoreboard!$B$2:$AE$21,MATCH($A22,Scoreboard!$A$2:$A$21,0),MATCH(F$3,Scoreboard!$B$1:$AE$1,0))-INDEX(Scoreboard!$B$22:$AE$22,MATCH(F$3,Scoreboard!$B$1:$AE$1,0)),""))</f>
        <v/>
      </c>
      <c r="G22" s="11">
        <f>IF(OR($A22="",G$3=""),"",IFERROR(INDEX(Scoreboard!$B$2:$AE$21,MATCH($A22,Scoreboard!$A$2:$A$21,0),MATCH(G$3,Scoreboard!$B$1:$AE$1,0))-INDEX(Scoreboard!$B$22:$AE$22,MATCH(G$3,Scoreboard!$B$1:$AE$1,0)),""))</f>
        <v/>
      </c>
      <c r="H22" s="11">
        <f>IF(OR($A22="",H$3=""),"",IFERROR(INDEX(Scoreboard!$B$2:$AE$21,MATCH($A22,Scoreboard!$A$2:$A$21,0),MATCH(H$3,Scoreboard!$B$1:$AE$1,0))-INDEX(Scoreboard!$B$22:$AE$22,MATCH(H$3,Scoreboard!$B$1:$AE$1,0)),""))</f>
        <v/>
      </c>
      <c r="I22" s="11">
        <f>IF(OR($A22="",I$3=""),"",IFERROR(INDEX(Scoreboard!$B$2:$AE$21,MATCH($A22,Scoreboard!$A$2:$A$21,0),MATCH(I$3,Scoreboard!$B$1:$AE$1,0))-INDEX(Scoreboard!$B$22:$AE$22,MATCH(I$3,Scoreboard!$B$1:$AE$1,0)),""))</f>
        <v/>
      </c>
      <c r="J22" s="11">
        <f>IF(OR($A22="",J$3=""),"",IFERROR(INDEX(Scoreboard!$B$2:$AE$21,MATCH($A22,Scoreboard!$A$2:$A$21,0),MATCH(J$3,Scoreboard!$B$1:$AE$1,0))-INDEX(Scoreboard!$B$22:$AE$22,MATCH(J$3,Scoreboard!$B$1:$AE$1,0)),""))</f>
        <v/>
      </c>
      <c r="K22" s="11">
        <f>IF(OR($A22="",K$3=""),"",IFERROR(INDEX(Scoreboard!$B$2:$AE$21,MATCH($A22,Scoreboard!$A$2:$A$21,0),MATCH(K$3,Scoreboard!$B$1:$AE$1,0))-INDEX(Scoreboard!$B$22:$AE$22,MATCH(K$3,Scoreboard!$B$1:$AE$1,0)),""))</f>
        <v/>
      </c>
      <c r="L22" s="11">
        <f>IF(OR($A22="",L$3=""),"",IFERROR(INDEX(Scoreboard!$B$2:$AE$21,MATCH($A22,Scoreboard!$A$2:$A$21,0),MATCH(L$3,Scoreboard!$B$1:$AE$1,0))-INDEX(Scoreboard!$B$22:$AE$22,MATCH(L$3,Scoreboard!$B$1:$AE$1,0)),""))</f>
        <v/>
      </c>
      <c r="M22" s="11">
        <f>IF(OR($A22="",M$3=""),"",IFERROR(INDEX(Scoreboard!$B$2:$AE$21,MATCH($A22,Scoreboard!$A$2:$A$21,0),MATCH(M$3,Scoreboard!$B$1:$AE$1,0))-INDEX(Scoreboard!$B$22:$AE$22,MATCH(M$3,Scoreboard!$B$1:$AE$1,0)),""))</f>
        <v/>
      </c>
      <c r="N22" s="11">
        <f>IF(OR($A22="",N$3=""),"",IFERROR(INDEX(Scoreboard!$B$2:$AE$21,MATCH($A22,Scoreboard!$A$2:$A$21,0),MATCH(N$3,Scoreboard!$B$1:$AE$1,0))-INDEX(Scoreboard!$B$22:$AE$22,MATCH(N$3,Scoreboard!$B$1:$AE$1,0)),""))</f>
        <v/>
      </c>
      <c r="O22" s="11">
        <f>IF(OR($A22="",O$3=""),"",IFERROR(INDEX(Scoreboard!$B$2:$AE$21,MATCH($A22,Scoreboard!$A$2:$A$21,0),MATCH(O$3,Scoreboard!$B$1:$AE$1,0))-INDEX(Scoreboard!$B$22:$AE$22,MATCH(O$3,Scoreboard!$B$1:$AE$1,0)),""))</f>
        <v/>
      </c>
      <c r="P22" s="11">
        <f>IF(OR($A22="",P$3=""),"",IFERROR(INDEX(Scoreboard!$B$2:$AE$21,MATCH($A22,Scoreboard!$A$2:$A$21,0),MATCH(P$3,Scoreboard!$B$1:$AE$1,0))-INDEX(Scoreboard!$B$22:$AE$22,MATCH(P$3,Scoreboard!$B$1:$AE$1,0)),""))</f>
        <v/>
      </c>
      <c r="Q22" s="11">
        <f>IF(OR($A22="",Q$3=""),"",IFERROR(INDEX(Scoreboard!$B$2:$AE$21,MATCH($A22,Scoreboard!$A$2:$A$21,0),MATCH(Q$3,Scoreboard!$B$1:$AE$1,0))-INDEX(Scoreboard!$B$22:$AE$22,MATCH(Q$3,Scoreboard!$B$1:$AE$1,0)),""))</f>
        <v/>
      </c>
      <c r="R22" s="11">
        <f>IF(OR($A22="",R$3=""),"",IFERROR(INDEX(Scoreboard!$B$2:$AE$21,MATCH($A22,Scoreboard!$A$2:$A$21,0),MATCH(R$3,Scoreboard!$B$1:$AE$1,0))-INDEX(Scoreboard!$B$22:$AE$22,MATCH(R$3,Scoreboard!$B$1:$AE$1,0)),""))</f>
        <v/>
      </c>
      <c r="S22" s="11">
        <f>IF(OR($A22="",S$3=""),"",IFERROR(INDEX(Scoreboard!$B$2:$AE$21,MATCH($A22,Scoreboard!$A$2:$A$21,0),MATCH(S$3,Scoreboard!$B$1:$AE$1,0))-INDEX(Scoreboard!$B$22:$AE$22,MATCH(S$3,Scoreboard!$B$1:$AE$1,0)),""))</f>
        <v/>
      </c>
      <c r="T22" s="11">
        <f>IF(OR($A22="",T$3=""),"",IFERROR(INDEX(Scoreboard!$B$2:$AE$21,MATCH($A22,Scoreboard!$A$2:$A$21,0),MATCH(T$3,Scoreboard!$B$1:$AE$1,0))-INDEX(Scoreboard!$B$22:$AE$22,MATCH(T$3,Scoreboard!$B$1:$AE$1,0)),""))</f>
        <v/>
      </c>
      <c r="U22" s="11">
        <f>IF(OR($A22="",U$3=""),"",IFERROR(INDEX(Scoreboard!$B$2:$AE$21,MATCH($A22,Scoreboard!$A$2:$A$21,0),MATCH(U$3,Scoreboard!$B$1:$AE$1,0))-INDEX(Scoreboard!$B$22:$AE$22,MATCH(U$3,Scoreboard!$B$1:$AE$1,0)),""))</f>
        <v/>
      </c>
      <c r="V22" s="11">
        <f>IF(OR($A22="",V$3=""),"",IFERROR(INDEX(Scoreboard!$B$2:$AE$21,MATCH($A22,Scoreboard!$A$2:$A$21,0),MATCH(V$3,Scoreboard!$B$1:$AE$1,0))-INDEX(Scoreboard!$B$22:$AE$22,MATCH(V$3,Scoreboard!$B$1:$AE$1,0)),""))</f>
        <v/>
      </c>
      <c r="W22" s="11">
        <f>IF(OR($A22="",W$3=""),"",IFERROR(INDEX(Scoreboard!$B$2:$AE$21,MATCH($A22,Scoreboard!$A$2:$A$21,0),MATCH(W$3,Scoreboard!$B$1:$AE$1,0))-INDEX(Scoreboard!$B$22:$AE$22,MATCH(W$3,Scoreboard!$B$1:$AE$1,0)),""))</f>
        <v/>
      </c>
      <c r="X22" s="11">
        <f>IF(OR($A22="",X$3=""),"",IFERROR(INDEX(Scoreboard!$B$2:$AE$21,MATCH($A22,Scoreboard!$A$2:$A$21,0),MATCH(X$3,Scoreboard!$B$1:$AE$1,0))-INDEX(Scoreboard!$B$22:$AE$22,MATCH(X$3,Scoreboard!$B$1:$AE$1,0)),""))</f>
        <v/>
      </c>
      <c r="Y22" s="11">
        <f>IF(OR($A22="",Y$3=""),"",IFERROR(INDEX(Scoreboard!$B$2:$AE$21,MATCH($A22,Scoreboard!$A$2:$A$21,0),MATCH(Y$3,Scoreboard!$B$1:$AE$1,0))-INDEX(Scoreboard!$B$22:$AE$22,MATCH(Y$3,Scoreboard!$B$1:$AE$1,0)),""))</f>
        <v/>
      </c>
      <c r="Z22" s="11">
        <f>IF(OR($A22="",Z$3=""),"",IFERROR(INDEX(Scoreboard!$B$2:$AE$21,MATCH($A22,Scoreboard!$A$2:$A$21,0),MATCH(Z$3,Scoreboard!$B$1:$AE$1,0))-INDEX(Scoreboard!$B$22:$AE$22,MATCH(Z$3,Scoreboard!$B$1:$AE$1,0)),""))</f>
        <v/>
      </c>
      <c r="AA22" s="11">
        <f>IF(OR($A22="",AA$3=""),"",IFERROR(INDEX(Scoreboard!$B$2:$AE$21,MATCH($A22,Scoreboard!$A$2:$A$21,0),MATCH(AA$3,Scoreboard!$B$1:$AE$1,0))-INDEX(Scoreboard!$B$22:$AE$22,MATCH(AA$3,Scoreboard!$B$1:$AE$1,0)),""))</f>
        <v/>
      </c>
      <c r="AB22" s="11">
        <f>IF(OR($A22="",AB$3=""),"",IFERROR(INDEX(Scoreboard!$B$2:$AE$21,MATCH($A22,Scoreboard!$A$2:$A$21,0),MATCH(AB$3,Scoreboard!$B$1:$AE$1,0))-INDEX(Scoreboard!$B$22:$AE$22,MATCH(AB$3,Scoreboard!$B$1:$AE$1,0)),""))</f>
        <v/>
      </c>
      <c r="AC22" s="11">
        <f>IF(OR($A22="",AC$3=""),"",IFERROR(INDEX(Scoreboard!$B$2:$AE$21,MATCH($A22,Scoreboard!$A$2:$A$21,0),MATCH(AC$3,Scoreboard!$B$1:$AE$1,0))-INDEX(Scoreboard!$B$22:$AE$22,MATCH(AC$3,Scoreboard!$B$1:$AE$1,0)),""))</f>
        <v/>
      </c>
      <c r="AD22" s="11">
        <f>IF(OR($A22="",AD$3=""),"",IFERROR(INDEX(Scoreboard!$B$2:$AE$21,MATCH($A22,Scoreboard!$A$2:$A$21,0),MATCH(AD$3,Scoreboard!$B$1:$AE$1,0))-INDEX(Scoreboard!$B$22:$AE$22,MATCH(AD$3,Scoreboard!$B$1:$AE$1,0)),""))</f>
        <v/>
      </c>
      <c r="AE22" s="11">
        <f>IF(OR($A22="",AE$3=""),"",IFERROR(INDEX(Scoreboard!$B$2:$AE$21,MATCH($A22,Scoreboard!$A$2:$A$21,0),MATCH(AE$3,Scoreboard!$B$1:$AE$1,0))-INDEX(Scoreboard!$B$22:$AE$22,MATCH(AE$3,Scoreboard!$B$1:$AE$1,0)),""))</f>
        <v/>
      </c>
    </row>
    <row r="23">
      <c r="A23" s="5">
        <f>IFERROR(Config!A21,"")</f>
        <v/>
      </c>
      <c r="B23" s="11">
        <f>IF(OR($A23="",B$3=""),"",IFERROR(INDEX(Scoreboard!$B$2:$AE$21,MATCH($A23,Scoreboard!$A$2:$A$21,0),MATCH(B$3,Scoreboard!$B$1:$AE$1,0))-INDEX(Scoreboard!$B$22:$AE$22,MATCH(B$3,Scoreboard!$B$1:$AE$1,0)),""))</f>
        <v/>
      </c>
      <c r="C23" s="11">
        <f>IF(OR($A23="",C$3=""),"",IFERROR(INDEX(Scoreboard!$B$2:$AE$21,MATCH($A23,Scoreboard!$A$2:$A$21,0),MATCH(C$3,Scoreboard!$B$1:$AE$1,0))-INDEX(Scoreboard!$B$22:$AE$22,MATCH(C$3,Scoreboard!$B$1:$AE$1,0)),""))</f>
        <v/>
      </c>
      <c r="D23" s="11">
        <f>IF(OR($A23="",D$3=""),"",IFERROR(INDEX(Scoreboard!$B$2:$AE$21,MATCH($A23,Scoreboard!$A$2:$A$21,0),MATCH(D$3,Scoreboard!$B$1:$AE$1,0))-INDEX(Scoreboard!$B$22:$AE$22,MATCH(D$3,Scoreboard!$B$1:$AE$1,0)),""))</f>
        <v/>
      </c>
      <c r="E23" s="11">
        <f>IF(OR($A23="",E$3=""),"",IFERROR(INDEX(Scoreboard!$B$2:$AE$21,MATCH($A23,Scoreboard!$A$2:$A$21,0),MATCH(E$3,Scoreboard!$B$1:$AE$1,0))-INDEX(Scoreboard!$B$22:$AE$22,MATCH(E$3,Scoreboard!$B$1:$AE$1,0)),""))</f>
        <v/>
      </c>
      <c r="F23" s="11">
        <f>IF(OR($A23="",F$3=""),"",IFERROR(INDEX(Scoreboard!$B$2:$AE$21,MATCH($A23,Scoreboard!$A$2:$A$21,0),MATCH(F$3,Scoreboard!$B$1:$AE$1,0))-INDEX(Scoreboard!$B$22:$AE$22,MATCH(F$3,Scoreboard!$B$1:$AE$1,0)),""))</f>
        <v/>
      </c>
      <c r="G23" s="11">
        <f>IF(OR($A23="",G$3=""),"",IFERROR(INDEX(Scoreboard!$B$2:$AE$21,MATCH($A23,Scoreboard!$A$2:$A$21,0),MATCH(G$3,Scoreboard!$B$1:$AE$1,0))-INDEX(Scoreboard!$B$22:$AE$22,MATCH(G$3,Scoreboard!$B$1:$AE$1,0)),""))</f>
        <v/>
      </c>
      <c r="H23" s="11">
        <f>IF(OR($A23="",H$3=""),"",IFERROR(INDEX(Scoreboard!$B$2:$AE$21,MATCH($A23,Scoreboard!$A$2:$A$21,0),MATCH(H$3,Scoreboard!$B$1:$AE$1,0))-INDEX(Scoreboard!$B$22:$AE$22,MATCH(H$3,Scoreboard!$B$1:$AE$1,0)),""))</f>
        <v/>
      </c>
      <c r="I23" s="11">
        <f>IF(OR($A23="",I$3=""),"",IFERROR(INDEX(Scoreboard!$B$2:$AE$21,MATCH($A23,Scoreboard!$A$2:$A$21,0),MATCH(I$3,Scoreboard!$B$1:$AE$1,0))-INDEX(Scoreboard!$B$22:$AE$22,MATCH(I$3,Scoreboard!$B$1:$AE$1,0)),""))</f>
        <v/>
      </c>
      <c r="J23" s="11">
        <f>IF(OR($A23="",J$3=""),"",IFERROR(INDEX(Scoreboard!$B$2:$AE$21,MATCH($A23,Scoreboard!$A$2:$A$21,0),MATCH(J$3,Scoreboard!$B$1:$AE$1,0))-INDEX(Scoreboard!$B$22:$AE$22,MATCH(J$3,Scoreboard!$B$1:$AE$1,0)),""))</f>
        <v/>
      </c>
      <c r="K23" s="11">
        <f>IF(OR($A23="",K$3=""),"",IFERROR(INDEX(Scoreboard!$B$2:$AE$21,MATCH($A23,Scoreboard!$A$2:$A$21,0),MATCH(K$3,Scoreboard!$B$1:$AE$1,0))-INDEX(Scoreboard!$B$22:$AE$22,MATCH(K$3,Scoreboard!$B$1:$AE$1,0)),""))</f>
        <v/>
      </c>
      <c r="L23" s="11">
        <f>IF(OR($A23="",L$3=""),"",IFERROR(INDEX(Scoreboard!$B$2:$AE$21,MATCH($A23,Scoreboard!$A$2:$A$21,0),MATCH(L$3,Scoreboard!$B$1:$AE$1,0))-INDEX(Scoreboard!$B$22:$AE$22,MATCH(L$3,Scoreboard!$B$1:$AE$1,0)),""))</f>
        <v/>
      </c>
      <c r="M23" s="11">
        <f>IF(OR($A23="",M$3=""),"",IFERROR(INDEX(Scoreboard!$B$2:$AE$21,MATCH($A23,Scoreboard!$A$2:$A$21,0),MATCH(M$3,Scoreboard!$B$1:$AE$1,0))-INDEX(Scoreboard!$B$22:$AE$22,MATCH(M$3,Scoreboard!$B$1:$AE$1,0)),""))</f>
        <v/>
      </c>
      <c r="N23" s="11">
        <f>IF(OR($A23="",N$3=""),"",IFERROR(INDEX(Scoreboard!$B$2:$AE$21,MATCH($A23,Scoreboard!$A$2:$A$21,0),MATCH(N$3,Scoreboard!$B$1:$AE$1,0))-INDEX(Scoreboard!$B$22:$AE$22,MATCH(N$3,Scoreboard!$B$1:$AE$1,0)),""))</f>
        <v/>
      </c>
      <c r="O23" s="11">
        <f>IF(OR($A23="",O$3=""),"",IFERROR(INDEX(Scoreboard!$B$2:$AE$21,MATCH($A23,Scoreboard!$A$2:$A$21,0),MATCH(O$3,Scoreboard!$B$1:$AE$1,0))-INDEX(Scoreboard!$B$22:$AE$22,MATCH(O$3,Scoreboard!$B$1:$AE$1,0)),""))</f>
        <v/>
      </c>
      <c r="P23" s="11">
        <f>IF(OR($A23="",P$3=""),"",IFERROR(INDEX(Scoreboard!$B$2:$AE$21,MATCH($A23,Scoreboard!$A$2:$A$21,0),MATCH(P$3,Scoreboard!$B$1:$AE$1,0))-INDEX(Scoreboard!$B$22:$AE$22,MATCH(P$3,Scoreboard!$B$1:$AE$1,0)),""))</f>
        <v/>
      </c>
      <c r="Q23" s="11">
        <f>IF(OR($A23="",Q$3=""),"",IFERROR(INDEX(Scoreboard!$B$2:$AE$21,MATCH($A23,Scoreboard!$A$2:$A$21,0),MATCH(Q$3,Scoreboard!$B$1:$AE$1,0))-INDEX(Scoreboard!$B$22:$AE$22,MATCH(Q$3,Scoreboard!$B$1:$AE$1,0)),""))</f>
        <v/>
      </c>
      <c r="R23" s="11">
        <f>IF(OR($A23="",R$3=""),"",IFERROR(INDEX(Scoreboard!$B$2:$AE$21,MATCH($A23,Scoreboard!$A$2:$A$21,0),MATCH(R$3,Scoreboard!$B$1:$AE$1,0))-INDEX(Scoreboard!$B$22:$AE$22,MATCH(R$3,Scoreboard!$B$1:$AE$1,0)),""))</f>
        <v/>
      </c>
      <c r="S23" s="11">
        <f>IF(OR($A23="",S$3=""),"",IFERROR(INDEX(Scoreboard!$B$2:$AE$21,MATCH($A23,Scoreboard!$A$2:$A$21,0),MATCH(S$3,Scoreboard!$B$1:$AE$1,0))-INDEX(Scoreboard!$B$22:$AE$22,MATCH(S$3,Scoreboard!$B$1:$AE$1,0)),""))</f>
        <v/>
      </c>
      <c r="T23" s="11">
        <f>IF(OR($A23="",T$3=""),"",IFERROR(INDEX(Scoreboard!$B$2:$AE$21,MATCH($A23,Scoreboard!$A$2:$A$21,0),MATCH(T$3,Scoreboard!$B$1:$AE$1,0))-INDEX(Scoreboard!$B$22:$AE$22,MATCH(T$3,Scoreboard!$B$1:$AE$1,0)),""))</f>
        <v/>
      </c>
      <c r="U23" s="11">
        <f>IF(OR($A23="",U$3=""),"",IFERROR(INDEX(Scoreboard!$B$2:$AE$21,MATCH($A23,Scoreboard!$A$2:$A$21,0),MATCH(U$3,Scoreboard!$B$1:$AE$1,0))-INDEX(Scoreboard!$B$22:$AE$22,MATCH(U$3,Scoreboard!$B$1:$AE$1,0)),""))</f>
        <v/>
      </c>
      <c r="V23" s="11">
        <f>IF(OR($A23="",V$3=""),"",IFERROR(INDEX(Scoreboard!$B$2:$AE$21,MATCH($A23,Scoreboard!$A$2:$A$21,0),MATCH(V$3,Scoreboard!$B$1:$AE$1,0))-INDEX(Scoreboard!$B$22:$AE$22,MATCH(V$3,Scoreboard!$B$1:$AE$1,0)),""))</f>
        <v/>
      </c>
      <c r="W23" s="11">
        <f>IF(OR($A23="",W$3=""),"",IFERROR(INDEX(Scoreboard!$B$2:$AE$21,MATCH($A23,Scoreboard!$A$2:$A$21,0),MATCH(W$3,Scoreboard!$B$1:$AE$1,0))-INDEX(Scoreboard!$B$22:$AE$22,MATCH(W$3,Scoreboard!$B$1:$AE$1,0)),""))</f>
        <v/>
      </c>
      <c r="X23" s="11">
        <f>IF(OR($A23="",X$3=""),"",IFERROR(INDEX(Scoreboard!$B$2:$AE$21,MATCH($A23,Scoreboard!$A$2:$A$21,0),MATCH(X$3,Scoreboard!$B$1:$AE$1,0))-INDEX(Scoreboard!$B$22:$AE$22,MATCH(X$3,Scoreboard!$B$1:$AE$1,0)),""))</f>
        <v/>
      </c>
      <c r="Y23" s="11">
        <f>IF(OR($A23="",Y$3=""),"",IFERROR(INDEX(Scoreboard!$B$2:$AE$21,MATCH($A23,Scoreboard!$A$2:$A$21,0),MATCH(Y$3,Scoreboard!$B$1:$AE$1,0))-INDEX(Scoreboard!$B$22:$AE$22,MATCH(Y$3,Scoreboard!$B$1:$AE$1,0)),""))</f>
        <v/>
      </c>
      <c r="Z23" s="11">
        <f>IF(OR($A23="",Z$3=""),"",IFERROR(INDEX(Scoreboard!$B$2:$AE$21,MATCH($A23,Scoreboard!$A$2:$A$21,0),MATCH(Z$3,Scoreboard!$B$1:$AE$1,0))-INDEX(Scoreboard!$B$22:$AE$22,MATCH(Z$3,Scoreboard!$B$1:$AE$1,0)),""))</f>
        <v/>
      </c>
      <c r="AA23" s="11">
        <f>IF(OR($A23="",AA$3=""),"",IFERROR(INDEX(Scoreboard!$B$2:$AE$21,MATCH($A23,Scoreboard!$A$2:$A$21,0),MATCH(AA$3,Scoreboard!$B$1:$AE$1,0))-INDEX(Scoreboard!$B$22:$AE$22,MATCH(AA$3,Scoreboard!$B$1:$AE$1,0)),""))</f>
        <v/>
      </c>
      <c r="AB23" s="11">
        <f>IF(OR($A23="",AB$3=""),"",IFERROR(INDEX(Scoreboard!$B$2:$AE$21,MATCH($A23,Scoreboard!$A$2:$A$21,0),MATCH(AB$3,Scoreboard!$B$1:$AE$1,0))-INDEX(Scoreboard!$B$22:$AE$22,MATCH(AB$3,Scoreboard!$B$1:$AE$1,0)),""))</f>
        <v/>
      </c>
      <c r="AC23" s="11">
        <f>IF(OR($A23="",AC$3=""),"",IFERROR(INDEX(Scoreboard!$B$2:$AE$21,MATCH($A23,Scoreboard!$A$2:$A$21,0),MATCH(AC$3,Scoreboard!$B$1:$AE$1,0))-INDEX(Scoreboard!$B$22:$AE$22,MATCH(AC$3,Scoreboard!$B$1:$AE$1,0)),""))</f>
        <v/>
      </c>
      <c r="AD23" s="11">
        <f>IF(OR($A23="",AD$3=""),"",IFERROR(INDEX(Scoreboard!$B$2:$AE$21,MATCH($A23,Scoreboard!$A$2:$A$21,0),MATCH(AD$3,Scoreboard!$B$1:$AE$1,0))-INDEX(Scoreboard!$B$22:$AE$22,MATCH(AD$3,Scoreboard!$B$1:$AE$1,0)),""))</f>
        <v/>
      </c>
      <c r="AE23" s="11">
        <f>IF(OR($A23="",AE$3=""),"",IFERROR(INDEX(Scoreboard!$B$2:$AE$21,MATCH($A23,Scoreboard!$A$2:$A$21,0),MATCH(AE$3,Scoreboard!$B$1:$AE$1,0))-INDEX(Scoreboard!$B$22:$AE$22,MATCH(AE$3,Scoreboard!$B$1:$AE$1,0)),""))</f>
        <v/>
      </c>
    </row>
  </sheetData>
  <conditionalFormatting sqref="B4:AE23">
    <cfRule type="colorScale" priority="1">
      <colorScale>
        <cfvo type="num" val="-0.25"/>
        <cfvo type="num" val="0"/>
        <cfvo type="num" val="0.2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2" customWidth="1" min="6" max="6"/>
    <col width="12" customWidth="1" min="7" max="7"/>
  </cols>
  <sheetData>
    <row r="1">
      <c r="A1" s="8" t="inlineStr">
        <is>
          <t>Submission Status (current round)</t>
        </is>
      </c>
      <c r="F1" s="5" t="inlineStr">
        <is>
          <t>Round Start</t>
        </is>
      </c>
      <c r="G1" s="3">
        <f>Config!$I$5</f>
        <v/>
      </c>
    </row>
    <row r="2">
      <c r="F2" s="5" t="inlineStr">
        <is>
          <t>Deadline</t>
        </is>
      </c>
      <c r="G2" s="3">
        <f>Config!$I$2</f>
        <v/>
      </c>
    </row>
    <row r="3">
      <c r="A3" s="1" t="inlineStr">
        <is>
          <t>Member</t>
        </is>
      </c>
      <c r="B3" s="1" t="inlineStr">
        <is>
          <t>Last submission</t>
        </is>
      </c>
      <c r="C3" s="1" t="inlineStr">
        <is>
          <t>Attempts this round</t>
        </is>
      </c>
      <c r="D3" s="1" t="inlineStr">
        <is>
          <t>Status</t>
        </is>
      </c>
    </row>
    <row r="4">
      <c r="A4" s="5">
        <f>IFERROR(Config!A2,"")</f>
        <v/>
      </c>
      <c r="B4" s="3">
        <f>IF($A4="","",IF(MAXIFS(Scores!$A$2:$A$1001,Scores!$B$2:$B$1001,$A4)=0,"—",MAXIFS(Scores!$A$2:$A$1001,Scores!$B$2:$B$1001,$A4)))</f>
        <v/>
      </c>
      <c r="C4" s="9">
        <f>IF($A4="","",COUNTIFS(Scores!$B$2:$B$1001,$A4,Scores!$A$2:$A$1001,"&gt;="&amp;Config!$I$5))</f>
        <v/>
      </c>
      <c r="D4">
        <f>IF($A4="","",IF(C4&gt;0,"submitted ✓",IF(TODAY()&gt;Config!$I$2,"LATE — missing","pending")))</f>
        <v/>
      </c>
    </row>
    <row r="5">
      <c r="A5" s="5">
        <f>IFERROR(Config!A3,"")</f>
        <v/>
      </c>
      <c r="B5" s="3">
        <f>IF($A5="","",IF(MAXIFS(Scores!$A$2:$A$1001,Scores!$B$2:$B$1001,$A5)=0,"—",MAXIFS(Scores!$A$2:$A$1001,Scores!$B$2:$B$1001,$A5)))</f>
        <v/>
      </c>
      <c r="C5" s="9">
        <f>IF($A5="","",COUNTIFS(Scores!$B$2:$B$1001,$A5,Scores!$A$2:$A$1001,"&gt;="&amp;Config!$I$5))</f>
        <v/>
      </c>
      <c r="D5">
        <f>IF($A5="","",IF(C5&gt;0,"submitted ✓",IF(TODAY()&gt;Config!$I$2,"LATE — missing","pending")))</f>
        <v/>
      </c>
    </row>
    <row r="6">
      <c r="A6" s="5">
        <f>IFERROR(Config!A4,"")</f>
        <v/>
      </c>
      <c r="B6" s="3">
        <f>IF($A6="","",IF(MAXIFS(Scores!$A$2:$A$1001,Scores!$B$2:$B$1001,$A6)=0,"—",MAXIFS(Scores!$A$2:$A$1001,Scores!$B$2:$B$1001,$A6)))</f>
        <v/>
      </c>
      <c r="C6" s="9">
        <f>IF($A6="","",COUNTIFS(Scores!$B$2:$B$1001,$A6,Scores!$A$2:$A$1001,"&gt;="&amp;Config!$I$5))</f>
        <v/>
      </c>
      <c r="D6">
        <f>IF($A6="","",IF(C6&gt;0,"submitted ✓",IF(TODAY()&gt;Config!$I$2,"LATE — missing","pending")))</f>
        <v/>
      </c>
    </row>
    <row r="7">
      <c r="A7" s="5">
        <f>IFERROR(Config!A5,"")</f>
        <v/>
      </c>
      <c r="B7" s="3">
        <f>IF($A7="","",IF(MAXIFS(Scores!$A$2:$A$1001,Scores!$B$2:$B$1001,$A7)=0,"—",MAXIFS(Scores!$A$2:$A$1001,Scores!$B$2:$B$1001,$A7)))</f>
        <v/>
      </c>
      <c r="C7" s="9">
        <f>IF($A7="","",COUNTIFS(Scores!$B$2:$B$1001,$A7,Scores!$A$2:$A$1001,"&gt;="&amp;Config!$I$5))</f>
        <v/>
      </c>
      <c r="D7">
        <f>IF($A7="","",IF(C7&gt;0,"submitted ✓",IF(TODAY()&gt;Config!$I$2,"LATE — missing","pending")))</f>
        <v/>
      </c>
    </row>
    <row r="8">
      <c r="A8" s="5">
        <f>IFERROR(Config!A6,"")</f>
        <v/>
      </c>
      <c r="B8" s="3">
        <f>IF($A8="","",IF(MAXIFS(Scores!$A$2:$A$1001,Scores!$B$2:$B$1001,$A8)=0,"—",MAXIFS(Scores!$A$2:$A$1001,Scores!$B$2:$B$1001,$A8)))</f>
        <v/>
      </c>
      <c r="C8" s="9">
        <f>IF($A8="","",COUNTIFS(Scores!$B$2:$B$1001,$A8,Scores!$A$2:$A$1001,"&gt;="&amp;Config!$I$5))</f>
        <v/>
      </c>
      <c r="D8">
        <f>IF($A8="","",IF(C8&gt;0,"submitted ✓",IF(TODAY()&gt;Config!$I$2,"LATE — missing","pending")))</f>
        <v/>
      </c>
    </row>
    <row r="9">
      <c r="A9" s="5">
        <f>IFERROR(Config!A7,"")</f>
        <v/>
      </c>
      <c r="B9" s="3">
        <f>IF($A9="","",IF(MAXIFS(Scores!$A$2:$A$1001,Scores!$B$2:$B$1001,$A9)=0,"—",MAXIFS(Scores!$A$2:$A$1001,Scores!$B$2:$B$1001,$A9)))</f>
        <v/>
      </c>
      <c r="C9" s="9">
        <f>IF($A9="","",COUNTIFS(Scores!$B$2:$B$1001,$A9,Scores!$A$2:$A$1001,"&gt;="&amp;Config!$I$5))</f>
        <v/>
      </c>
      <c r="D9">
        <f>IF($A9="","",IF(C9&gt;0,"submitted ✓",IF(TODAY()&gt;Config!$I$2,"LATE — missing","pending")))</f>
        <v/>
      </c>
    </row>
    <row r="10">
      <c r="A10" s="5">
        <f>IFERROR(Config!A8,"")</f>
        <v/>
      </c>
      <c r="B10" s="3">
        <f>IF($A10="","",IF(MAXIFS(Scores!$A$2:$A$1001,Scores!$B$2:$B$1001,$A10)=0,"—",MAXIFS(Scores!$A$2:$A$1001,Scores!$B$2:$B$1001,$A10)))</f>
        <v/>
      </c>
      <c r="C10" s="9">
        <f>IF($A10="","",COUNTIFS(Scores!$B$2:$B$1001,$A10,Scores!$A$2:$A$1001,"&gt;="&amp;Config!$I$5))</f>
        <v/>
      </c>
      <c r="D10">
        <f>IF($A10="","",IF(C10&gt;0,"submitted ✓",IF(TODAY()&gt;Config!$I$2,"LATE — missing","pending")))</f>
        <v/>
      </c>
    </row>
    <row r="11">
      <c r="A11" s="5">
        <f>IFERROR(Config!A9,"")</f>
        <v/>
      </c>
      <c r="B11" s="3">
        <f>IF($A11="","",IF(MAXIFS(Scores!$A$2:$A$1001,Scores!$B$2:$B$1001,$A11)=0,"—",MAXIFS(Scores!$A$2:$A$1001,Scores!$B$2:$B$1001,$A11)))</f>
        <v/>
      </c>
      <c r="C11" s="9">
        <f>IF($A11="","",COUNTIFS(Scores!$B$2:$B$1001,$A11,Scores!$A$2:$A$1001,"&gt;="&amp;Config!$I$5))</f>
        <v/>
      </c>
      <c r="D11">
        <f>IF($A11="","",IF(C11&gt;0,"submitted ✓",IF(TODAY()&gt;Config!$I$2,"LATE — missing","pending")))</f>
        <v/>
      </c>
    </row>
    <row r="12">
      <c r="A12" s="5">
        <f>IFERROR(Config!A10,"")</f>
        <v/>
      </c>
      <c r="B12" s="3">
        <f>IF($A12="","",IF(MAXIFS(Scores!$A$2:$A$1001,Scores!$B$2:$B$1001,$A12)=0,"—",MAXIFS(Scores!$A$2:$A$1001,Scores!$B$2:$B$1001,$A12)))</f>
        <v/>
      </c>
      <c r="C12" s="9">
        <f>IF($A12="","",COUNTIFS(Scores!$B$2:$B$1001,$A12,Scores!$A$2:$A$1001,"&gt;="&amp;Config!$I$5))</f>
        <v/>
      </c>
      <c r="D12">
        <f>IF($A12="","",IF(C12&gt;0,"submitted ✓",IF(TODAY()&gt;Config!$I$2,"LATE — missing","pending")))</f>
        <v/>
      </c>
    </row>
    <row r="13">
      <c r="A13" s="5">
        <f>IFERROR(Config!A11,"")</f>
        <v/>
      </c>
      <c r="B13" s="3">
        <f>IF($A13="","",IF(MAXIFS(Scores!$A$2:$A$1001,Scores!$B$2:$B$1001,$A13)=0,"—",MAXIFS(Scores!$A$2:$A$1001,Scores!$B$2:$B$1001,$A13)))</f>
        <v/>
      </c>
      <c r="C13" s="9">
        <f>IF($A13="","",COUNTIFS(Scores!$B$2:$B$1001,$A13,Scores!$A$2:$A$1001,"&gt;="&amp;Config!$I$5))</f>
        <v/>
      </c>
      <c r="D13">
        <f>IF($A13="","",IF(C13&gt;0,"submitted ✓",IF(TODAY()&gt;Config!$I$2,"LATE — missing","pending")))</f>
        <v/>
      </c>
    </row>
    <row r="14">
      <c r="A14" s="5">
        <f>IFERROR(Config!A12,"")</f>
        <v/>
      </c>
      <c r="B14" s="3">
        <f>IF($A14="","",IF(MAXIFS(Scores!$A$2:$A$1001,Scores!$B$2:$B$1001,$A14)=0,"—",MAXIFS(Scores!$A$2:$A$1001,Scores!$B$2:$B$1001,$A14)))</f>
        <v/>
      </c>
      <c r="C14" s="9">
        <f>IF($A14="","",COUNTIFS(Scores!$B$2:$B$1001,$A14,Scores!$A$2:$A$1001,"&gt;="&amp;Config!$I$5))</f>
        <v/>
      </c>
      <c r="D14">
        <f>IF($A14="","",IF(C14&gt;0,"submitted ✓",IF(TODAY()&gt;Config!$I$2,"LATE — missing","pending")))</f>
        <v/>
      </c>
    </row>
    <row r="15">
      <c r="A15" s="5">
        <f>IFERROR(Config!A13,"")</f>
        <v/>
      </c>
      <c r="B15" s="3">
        <f>IF($A15="","",IF(MAXIFS(Scores!$A$2:$A$1001,Scores!$B$2:$B$1001,$A15)=0,"—",MAXIFS(Scores!$A$2:$A$1001,Scores!$B$2:$B$1001,$A15)))</f>
        <v/>
      </c>
      <c r="C15" s="9">
        <f>IF($A15="","",COUNTIFS(Scores!$B$2:$B$1001,$A15,Scores!$A$2:$A$1001,"&gt;="&amp;Config!$I$5))</f>
        <v/>
      </c>
      <c r="D15">
        <f>IF($A15="","",IF(C15&gt;0,"submitted ✓",IF(TODAY()&gt;Config!$I$2,"LATE — missing","pending")))</f>
        <v/>
      </c>
    </row>
    <row r="16">
      <c r="A16" s="5">
        <f>IFERROR(Config!A14,"")</f>
        <v/>
      </c>
      <c r="B16" s="3">
        <f>IF($A16="","",IF(MAXIFS(Scores!$A$2:$A$1001,Scores!$B$2:$B$1001,$A16)=0,"—",MAXIFS(Scores!$A$2:$A$1001,Scores!$B$2:$B$1001,$A16)))</f>
        <v/>
      </c>
      <c r="C16" s="9">
        <f>IF($A16="","",COUNTIFS(Scores!$B$2:$B$1001,$A16,Scores!$A$2:$A$1001,"&gt;="&amp;Config!$I$5))</f>
        <v/>
      </c>
      <c r="D16">
        <f>IF($A16="","",IF(C16&gt;0,"submitted ✓",IF(TODAY()&gt;Config!$I$2,"LATE — missing","pending")))</f>
        <v/>
      </c>
    </row>
    <row r="17">
      <c r="A17" s="5">
        <f>IFERROR(Config!A15,"")</f>
        <v/>
      </c>
      <c r="B17" s="3">
        <f>IF($A17="","",IF(MAXIFS(Scores!$A$2:$A$1001,Scores!$B$2:$B$1001,$A17)=0,"—",MAXIFS(Scores!$A$2:$A$1001,Scores!$B$2:$B$1001,$A17)))</f>
        <v/>
      </c>
      <c r="C17" s="9">
        <f>IF($A17="","",COUNTIFS(Scores!$B$2:$B$1001,$A17,Scores!$A$2:$A$1001,"&gt;="&amp;Config!$I$5))</f>
        <v/>
      </c>
      <c r="D17">
        <f>IF($A17="","",IF(C17&gt;0,"submitted ✓",IF(TODAY()&gt;Config!$I$2,"LATE — missing","pending")))</f>
        <v/>
      </c>
    </row>
    <row r="18">
      <c r="A18" s="5">
        <f>IFERROR(Config!A16,"")</f>
        <v/>
      </c>
      <c r="B18" s="3">
        <f>IF($A18="","",IF(MAXIFS(Scores!$A$2:$A$1001,Scores!$B$2:$B$1001,$A18)=0,"—",MAXIFS(Scores!$A$2:$A$1001,Scores!$B$2:$B$1001,$A18)))</f>
        <v/>
      </c>
      <c r="C18" s="9">
        <f>IF($A18="","",COUNTIFS(Scores!$B$2:$B$1001,$A18,Scores!$A$2:$A$1001,"&gt;="&amp;Config!$I$5))</f>
        <v/>
      </c>
      <c r="D18">
        <f>IF($A18="","",IF(C18&gt;0,"submitted ✓",IF(TODAY()&gt;Config!$I$2,"LATE — missing","pending")))</f>
        <v/>
      </c>
    </row>
    <row r="19">
      <c r="A19" s="5">
        <f>IFERROR(Config!A17,"")</f>
        <v/>
      </c>
      <c r="B19" s="3">
        <f>IF($A19="","",IF(MAXIFS(Scores!$A$2:$A$1001,Scores!$B$2:$B$1001,$A19)=0,"—",MAXIFS(Scores!$A$2:$A$1001,Scores!$B$2:$B$1001,$A19)))</f>
        <v/>
      </c>
      <c r="C19" s="9">
        <f>IF($A19="","",COUNTIFS(Scores!$B$2:$B$1001,$A19,Scores!$A$2:$A$1001,"&gt;="&amp;Config!$I$5))</f>
        <v/>
      </c>
      <c r="D19">
        <f>IF($A19="","",IF(C19&gt;0,"submitted ✓",IF(TODAY()&gt;Config!$I$2,"LATE — missing","pending")))</f>
        <v/>
      </c>
    </row>
    <row r="20">
      <c r="A20" s="5">
        <f>IFERROR(Config!A18,"")</f>
        <v/>
      </c>
      <c r="B20" s="3">
        <f>IF($A20="","",IF(MAXIFS(Scores!$A$2:$A$1001,Scores!$B$2:$B$1001,$A20)=0,"—",MAXIFS(Scores!$A$2:$A$1001,Scores!$B$2:$B$1001,$A20)))</f>
        <v/>
      </c>
      <c r="C20" s="9">
        <f>IF($A20="","",COUNTIFS(Scores!$B$2:$B$1001,$A20,Scores!$A$2:$A$1001,"&gt;="&amp;Config!$I$5))</f>
        <v/>
      </c>
      <c r="D20">
        <f>IF($A20="","",IF(C20&gt;0,"submitted ✓",IF(TODAY()&gt;Config!$I$2,"LATE — missing","pending")))</f>
        <v/>
      </c>
    </row>
    <row r="21">
      <c r="A21" s="5">
        <f>IFERROR(Config!A19,"")</f>
        <v/>
      </c>
      <c r="B21" s="3">
        <f>IF($A21="","",IF(MAXIFS(Scores!$A$2:$A$1001,Scores!$B$2:$B$1001,$A21)=0,"—",MAXIFS(Scores!$A$2:$A$1001,Scores!$B$2:$B$1001,$A21)))</f>
        <v/>
      </c>
      <c r="C21" s="9">
        <f>IF($A21="","",COUNTIFS(Scores!$B$2:$B$1001,$A21,Scores!$A$2:$A$1001,"&gt;="&amp;Config!$I$5))</f>
        <v/>
      </c>
      <c r="D21">
        <f>IF($A21="","",IF(C21&gt;0,"submitted ✓",IF(TODAY()&gt;Config!$I$2,"LATE — missing","pending")))</f>
        <v/>
      </c>
    </row>
    <row r="22">
      <c r="A22" s="5">
        <f>IFERROR(Config!A20,"")</f>
        <v/>
      </c>
      <c r="B22" s="3">
        <f>IF($A22="","",IF(MAXIFS(Scores!$A$2:$A$1001,Scores!$B$2:$B$1001,$A22)=0,"—",MAXIFS(Scores!$A$2:$A$1001,Scores!$B$2:$B$1001,$A22)))</f>
        <v/>
      </c>
      <c r="C22" s="9">
        <f>IF($A22="","",COUNTIFS(Scores!$B$2:$B$1001,$A22,Scores!$A$2:$A$1001,"&gt;="&amp;Config!$I$5))</f>
        <v/>
      </c>
      <c r="D22">
        <f>IF($A22="","",IF(C22&gt;0,"submitted ✓",IF(TODAY()&gt;Config!$I$2,"LATE — missing","pending")))</f>
        <v/>
      </c>
    </row>
    <row r="23">
      <c r="A23" s="5">
        <f>IFERROR(Config!A21,"")</f>
        <v/>
      </c>
      <c r="B23" s="3">
        <f>IF($A23="","",IF(MAXIFS(Scores!$A$2:$A$1001,Scores!$B$2:$B$1001,$A23)=0,"—",MAXIFS(Scores!$A$2:$A$1001,Scores!$B$2:$B$1001,$A23)))</f>
        <v/>
      </c>
      <c r="C23" s="9">
        <f>IF($A23="","",COUNTIFS(Scores!$B$2:$B$1001,$A23,Scores!$A$2:$A$1001,"&gt;="&amp;Config!$I$5))</f>
        <v/>
      </c>
      <c r="D23">
        <f>IF($A23="","",IF(C23&gt;0,"submitted ✓",IF(TODAY()&gt;Config!$I$2,"LATE — missing","pending")))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Book</t>
        </is>
      </c>
      <c r="B1" s="1" t="inlineStr">
        <is>
          <t>Subject(s) it trains</t>
        </is>
      </c>
      <c r="C1" s="1" t="inlineStr">
        <is>
          <t>Where to get / link</t>
        </is>
      </c>
      <c r="D1" s="1" t="inlineStr">
        <is>
          <t>Sent to</t>
        </is>
      </c>
      <c r="E1" s="1" t="inlineStr">
        <is>
          <t>Date sent</t>
        </is>
      </c>
      <c r="F1" s="1" t="inlineStr">
        <is>
          <t>Status</t>
        </is>
      </c>
    </row>
    <row r="2">
      <c r="A2" t="inlineStr">
        <is>
          <t>Pilot Aptitude Test Workbook</t>
        </is>
      </c>
      <c r="B2" t="inlineStr">
        <is>
          <t>Number Series, Figure / Picture Series</t>
        </is>
      </c>
      <c r="C2" t="inlineStr"/>
      <c r="D2" t="inlineStr"/>
      <c r="E2" t="inlineStr"/>
      <c r="F2" t="inlineStr"/>
    </row>
    <row r="3">
      <c r="A3" t="inlineStr">
        <is>
          <t>Spatial &amp; Shape Drills</t>
        </is>
      </c>
      <c r="B3" t="inlineStr">
        <is>
          <t>Shape Scanning, Aircraft / Spatial Rotation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" customWidth="1" min="2" max="2"/>
    <col width="26" customWidth="1" min="3" max="3"/>
    <col width="10" customWidth="1" min="4" max="4"/>
    <col width="2" customWidth="1" min="5" max="5"/>
    <col width="26" customWidth="1" min="6" max="6"/>
    <col width="2" customWidth="1" min="7" max="7"/>
    <col width="22" customWidth="1" min="8" max="8"/>
    <col width="14" customWidth="1" min="9" max="9"/>
  </cols>
  <sheetData>
    <row r="1">
      <c r="A1" s="1" t="inlineStr">
        <is>
          <t>Members</t>
        </is>
      </c>
      <c r="C1" s="1" t="inlineStr">
        <is>
          <t>Subjects</t>
        </is>
      </c>
      <c r="D1" s="1" t="inlineStr">
        <is>
          <t>Target %</t>
        </is>
      </c>
      <c r="F1" s="1" t="inlineStr">
        <is>
          <t>Books</t>
        </is>
      </c>
      <c r="H1" s="1" t="inlineStr">
        <is>
          <t>Settings</t>
        </is>
      </c>
      <c r="I1" s="1" t="inlineStr">
        <is>
          <t>Value</t>
        </is>
      </c>
    </row>
    <row r="2">
      <c r="A2" t="inlineStr">
        <is>
          <t>You</t>
        </is>
      </c>
      <c r="C2" t="inlineStr">
        <is>
          <t>Number Series</t>
        </is>
      </c>
      <c r="D2" s="4" t="n">
        <v>0.8</v>
      </c>
      <c r="F2" t="inlineStr">
        <is>
          <t>Pilot Aptitude Test Workbook</t>
        </is>
      </c>
      <c r="H2" s="5" t="inlineStr">
        <is>
          <t>Submission Deadline</t>
        </is>
      </c>
      <c r="I2" s="3" t="n">
        <v>46200</v>
      </c>
    </row>
    <row r="3">
      <c r="A3" t="inlineStr">
        <is>
          <t>Friend A</t>
        </is>
      </c>
      <c r="C3" t="inlineStr">
        <is>
          <t>Figure / Picture Series</t>
        </is>
      </c>
      <c r="D3" s="4" t="n">
        <v>0.8</v>
      </c>
      <c r="F3" t="inlineStr">
        <is>
          <t>Spatial &amp; Shape Drills</t>
        </is>
      </c>
      <c r="H3" s="5" t="inlineStr">
        <is>
          <t>Group Target %</t>
        </is>
      </c>
      <c r="I3" s="4" t="n">
        <v>0.75</v>
      </c>
    </row>
    <row r="4">
      <c r="A4" t="inlineStr">
        <is>
          <t>Friend B</t>
        </is>
      </c>
      <c r="C4" t="inlineStr">
        <is>
          <t>Shape Scanning</t>
        </is>
      </c>
      <c r="D4" s="4" t="n">
        <v>0.8</v>
      </c>
      <c r="H4" s="5" t="inlineStr">
        <is>
          <t>Schedule Start (today)</t>
        </is>
      </c>
      <c r="I4" s="3" t="n">
        <v>46193</v>
      </c>
    </row>
    <row r="5">
      <c r="C5" t="inlineStr">
        <is>
          <t>Aircraft / Spatial Rotation</t>
        </is>
      </c>
      <c r="D5" s="4" t="n">
        <v>0.8</v>
      </c>
      <c r="H5" s="5" t="inlineStr">
        <is>
          <t>Round Start</t>
        </is>
      </c>
      <c r="I5" s="3" t="n">
        <v>46193</v>
      </c>
    </row>
    <row r="6">
      <c r="C6" t="inlineStr">
        <is>
          <t>Mental Arithmetic</t>
        </is>
      </c>
      <c r="D6" s="4" t="n">
        <v>0.8</v>
      </c>
    </row>
    <row r="7">
      <c r="C7" t="inlineStr">
        <is>
          <t>Memory / Recall</t>
        </is>
      </c>
      <c r="D7" s="4" t="n">
        <v>0.8</v>
      </c>
      <c r="H7" s="2" t="inlineStr">
        <is>
          <t>Edit these lists anytime — the dashboards read them live.</t>
        </is>
      </c>
    </row>
    <row r="8">
      <c r="C8" t="inlineStr">
        <is>
          <t>Instrument Reading</t>
        </is>
      </c>
      <c r="D8" s="4" t="n">
        <v>0.8</v>
      </c>
    </row>
    <row r="9">
      <c r="C9" t="inlineStr">
        <is>
          <t>Multitasking</t>
        </is>
      </c>
      <c r="D9" s="4" t="n">
        <v>0.8</v>
      </c>
    </row>
    <row r="10">
      <c r="C10" t="inlineStr">
        <is>
          <t>English</t>
        </is>
      </c>
      <c r="D10" s="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2026-06-20T12:21:49Z</dcterms:created>
  <dcterms:modified xsi:type="dcterms:W3CDTF">2026-06-20T12:21:50Z</dcterms:modified>
</cp:coreProperties>
</file>